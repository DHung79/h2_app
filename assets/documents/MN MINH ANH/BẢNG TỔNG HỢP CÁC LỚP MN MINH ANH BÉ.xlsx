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VNT\Documents\hiền\MN MINH ANH\"/>
    </mc:Choice>
  </mc:AlternateContent>
  <xr:revisionPtr revIDLastSave="0" documentId="13_ncr:1_{881B0543-0167-446B-BC5C-000A5689850C}" xr6:coauthVersionLast="47" xr6:coauthVersionMax="47" xr10:uidLastSave="{00000000-0000-0000-0000-000000000000}"/>
  <bookViews>
    <workbookView xWindow="-108" yWindow="-108" windowWidth="23256" windowHeight="12576" firstSheet="10" activeTab="11" xr2:uid="{00000000-000D-0000-FFFF-FFFF00000000}"/>
  </bookViews>
  <sheets>
    <sheet name="12-18" sheetId="43" r:id="rId1"/>
    <sheet name="19-24 a" sheetId="42" r:id="rId2"/>
    <sheet name="19-24 B" sheetId="44" r:id="rId3"/>
    <sheet name="25-36" sheetId="47" r:id="rId4"/>
    <sheet name="25-36 A" sheetId="46" r:id="rId5"/>
    <sheet name="25-36 B" sheetId="45" r:id="rId6"/>
    <sheet name="3-4 A" sheetId="49" r:id="rId7"/>
    <sheet name="3-4 B" sheetId="50" r:id="rId8"/>
    <sheet name="3-4 C" sheetId="48" r:id="rId9"/>
    <sheet name="4-5" sheetId="51" r:id="rId10"/>
    <sheet name="5-6 A" sheetId="52" r:id="rId11"/>
    <sheet name="5-6 B" sheetId="53" r:id="rId12"/>
    <sheet name="bảng tổng hợp" sheetId="2" r:id="rId13"/>
    <sheet name="BIỂU ĐỒ" sheetId="19" r:id="rId14"/>
    <sheet name="Sheet1" sheetId="20" r:id="rId15"/>
    <sheet name="CNTT" sheetId="8" r:id="rId16"/>
    <sheet name="CCTT" sheetId="5" r:id="rId17"/>
    <sheet name="CNTCC" sheetId="16" r:id="rId18"/>
    <sheet name="BMI" sheetId="17" r:id="rId19"/>
  </sheets>
  <externalReferences>
    <externalReference r:id="rId20"/>
  </externalReferences>
  <definedNames>
    <definedName name="_xlnm._FilterDatabase" localSheetId="0" hidden="1">'12-18'!$A$9:$WWA$19</definedName>
    <definedName name="_xlnm._FilterDatabase" localSheetId="1" hidden="1">'19-24 a'!$A$9:$WWA$18</definedName>
    <definedName name="_xlnm._FilterDatabase" localSheetId="2" hidden="1">'19-24 B'!$A$9:$WWA$22</definedName>
    <definedName name="_xlnm._FilterDatabase" localSheetId="3" hidden="1">'25-36'!$A$9:$WWA$22</definedName>
    <definedName name="_xlnm._FilterDatabase" localSheetId="4" hidden="1">'25-36 A'!$A$9:$WWA$23</definedName>
    <definedName name="_xlnm._FilterDatabase" localSheetId="5" hidden="1">'25-36 B'!$A$9:$WWA$25</definedName>
    <definedName name="_xlnm._FilterDatabase" localSheetId="6" hidden="1">'3-4 A'!$A$9:$WWA$28</definedName>
    <definedName name="_xlnm._FilterDatabase" localSheetId="7" hidden="1">'3-4 B'!$A$9:$WWA$25</definedName>
    <definedName name="_xlnm._FilterDatabase" localSheetId="8" hidden="1">'3-4 C'!$A$9:$WWA$22</definedName>
    <definedName name="_xlnm._FilterDatabase" localSheetId="9" hidden="1">'4-5'!$A$9:$WWA$31</definedName>
    <definedName name="_xlnm._FilterDatabase" localSheetId="10" hidden="1">'5-6 A'!$A$9:$WWA$33</definedName>
    <definedName name="_xlnm._FilterDatabase" localSheetId="11" hidden="1">'5-6 B'!$A$9:$WWA$35</definedName>
    <definedName name="_xlnm.Print_Area" localSheetId="0">'12-18'!$A$1:$S$30</definedName>
    <definedName name="_xlnm.Print_Area" localSheetId="1">'19-24 a'!$A$1:$S$29</definedName>
    <definedName name="_xlnm.Print_Area" localSheetId="2">'19-24 B'!$A$1:$S$33</definedName>
    <definedName name="_xlnm.Print_Area" localSheetId="3">'25-36'!$A$1:$S$33</definedName>
    <definedName name="_xlnm.Print_Area" localSheetId="4">'25-36 A'!$A$1:$S$34</definedName>
    <definedName name="_xlnm.Print_Area" localSheetId="5">'25-36 B'!$A$1:$S$36</definedName>
    <definedName name="_xlnm.Print_Area" localSheetId="6">'3-4 A'!$A$1:$S$39</definedName>
    <definedName name="_xlnm.Print_Area" localSheetId="7">'3-4 B'!$A$1:$S$36</definedName>
    <definedName name="_xlnm.Print_Area" localSheetId="8">'3-4 C'!$A$1:$S$33</definedName>
    <definedName name="_xlnm.Print_Area" localSheetId="9">'4-5'!$A$1:$S$42</definedName>
    <definedName name="_xlnm.Print_Area" localSheetId="10">'5-6 A'!$A$1:$S$44</definedName>
    <definedName name="_xlnm.Print_Area" localSheetId="11">'5-6 B'!$A$1:$S$46</definedName>
    <definedName name="_xlnm.Print_Titles" localSheetId="0">'12-18'!$8:$9</definedName>
    <definedName name="_xlnm.Print_Titles" localSheetId="1">'19-24 a'!$8:$9</definedName>
    <definedName name="_xlnm.Print_Titles" localSheetId="2">'19-24 B'!$8:$9</definedName>
    <definedName name="_xlnm.Print_Titles" localSheetId="3">'25-36'!$8:$9</definedName>
    <definedName name="_xlnm.Print_Titles" localSheetId="4">'25-36 A'!$8:$9</definedName>
    <definedName name="_xlnm.Print_Titles" localSheetId="5">'25-36 B'!$8:$9</definedName>
    <definedName name="_xlnm.Print_Titles" localSheetId="6">'3-4 A'!$8:$9</definedName>
    <definedName name="_xlnm.Print_Titles" localSheetId="7">'3-4 B'!$8:$9</definedName>
    <definedName name="_xlnm.Print_Titles" localSheetId="8">'3-4 C'!$8:$9</definedName>
    <definedName name="_xlnm.Print_Titles" localSheetId="9">'4-5'!$8:$9</definedName>
    <definedName name="_xlnm.Print_Titles" localSheetId="10">'5-6 A'!$8:$9</definedName>
    <definedName name="_xlnm.Print_Titles" localSheetId="11">'5-6 B'!$8:$9</definedName>
    <definedName name="_xlnm.Print_Titles" localSheetId="12">'bảng tổng hợp'!$12:$14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7" i="2" l="1"/>
  <c r="E27" i="2"/>
  <c r="F27" i="2"/>
  <c r="G27" i="2"/>
  <c r="H27" i="2"/>
  <c r="I27" i="2"/>
  <c r="J27" i="2"/>
  <c r="K27" i="2"/>
  <c r="L27" i="2"/>
  <c r="M27" i="2"/>
  <c r="N27" i="2"/>
  <c r="O27" i="2"/>
  <c r="P27" i="2"/>
  <c r="Q27" i="2"/>
  <c r="R27" i="2"/>
  <c r="S27" i="2"/>
  <c r="T27" i="2"/>
  <c r="U27" i="2"/>
  <c r="C27" i="2"/>
  <c r="AI10" i="47"/>
  <c r="H13" i="42"/>
  <c r="K18" i="42"/>
  <c r="J18" i="42"/>
  <c r="H18" i="42"/>
  <c r="J17" i="42"/>
  <c r="H17" i="42"/>
  <c r="J16" i="42"/>
  <c r="H16" i="42"/>
  <c r="J15" i="42"/>
  <c r="H15" i="42"/>
  <c r="J14" i="42"/>
  <c r="H14" i="42"/>
  <c r="J13" i="42"/>
  <c r="J12" i="42"/>
  <c r="H12" i="42"/>
  <c r="J11" i="42"/>
  <c r="H11" i="42"/>
  <c r="J10" i="42"/>
  <c r="H10" i="42"/>
  <c r="J19" i="43"/>
  <c r="H19" i="43"/>
  <c r="J18" i="43"/>
  <c r="H18" i="43"/>
  <c r="J17" i="43"/>
  <c r="H17" i="43"/>
  <c r="J16" i="43"/>
  <c r="H16" i="43"/>
  <c r="J15" i="43"/>
  <c r="H15" i="43"/>
  <c r="J14" i="43"/>
  <c r="H14" i="43"/>
  <c r="J13" i="43"/>
  <c r="H13" i="43"/>
  <c r="J12" i="43"/>
  <c r="H12" i="43"/>
  <c r="J11" i="43"/>
  <c r="H11" i="43"/>
  <c r="J10" i="43"/>
  <c r="H10" i="43"/>
  <c r="J22" i="44" l="1"/>
  <c r="H22" i="44"/>
  <c r="K21" i="44"/>
  <c r="J21" i="44"/>
  <c r="H21" i="44"/>
  <c r="K20" i="44"/>
  <c r="J20" i="44"/>
  <c r="H20" i="44"/>
  <c r="K19" i="44"/>
  <c r="J19" i="44"/>
  <c r="H19" i="44"/>
  <c r="K18" i="44"/>
  <c r="J18" i="44"/>
  <c r="H18" i="44"/>
  <c r="K17" i="44"/>
  <c r="J17" i="44"/>
  <c r="H17" i="44"/>
  <c r="K16" i="44"/>
  <c r="H16" i="44"/>
  <c r="J15" i="44"/>
  <c r="H15" i="44"/>
  <c r="J14" i="44"/>
  <c r="H14" i="44"/>
  <c r="K13" i="44"/>
  <c r="J13" i="44"/>
  <c r="H13" i="44"/>
  <c r="K12" i="44"/>
  <c r="J12" i="44"/>
  <c r="H12" i="44"/>
  <c r="K11" i="44"/>
  <c r="J11" i="44"/>
  <c r="H11" i="44"/>
  <c r="J10" i="44"/>
  <c r="H10" i="44"/>
  <c r="U34" i="53"/>
  <c r="T34" i="53"/>
  <c r="S34" i="53"/>
  <c r="U33" i="53"/>
  <c r="T33" i="53"/>
  <c r="S33" i="53"/>
  <c r="U35" i="53"/>
  <c r="T35" i="53"/>
  <c r="S35" i="53"/>
  <c r="U32" i="53"/>
  <c r="T32" i="53"/>
  <c r="S32" i="53"/>
  <c r="U31" i="53"/>
  <c r="T31" i="53"/>
  <c r="S31" i="53"/>
  <c r="U30" i="53"/>
  <c r="T30" i="53"/>
  <c r="S30" i="53"/>
  <c r="U29" i="53"/>
  <c r="T29" i="53"/>
  <c r="S29" i="53"/>
  <c r="U28" i="53"/>
  <c r="T28" i="53"/>
  <c r="S28" i="53"/>
  <c r="U27" i="53"/>
  <c r="T27" i="53"/>
  <c r="S27" i="53"/>
  <c r="U26" i="53"/>
  <c r="T26" i="53"/>
  <c r="S26" i="53"/>
  <c r="U25" i="53"/>
  <c r="T25" i="53"/>
  <c r="S25" i="53"/>
  <c r="U24" i="53"/>
  <c r="T24" i="53"/>
  <c r="S24" i="53"/>
  <c r="U23" i="53"/>
  <c r="T23" i="53"/>
  <c r="S23" i="53"/>
  <c r="U22" i="53"/>
  <c r="T22" i="53"/>
  <c r="S22" i="53"/>
  <c r="U21" i="53"/>
  <c r="T21" i="53"/>
  <c r="S21" i="53"/>
  <c r="U20" i="53"/>
  <c r="T20" i="53"/>
  <c r="S20" i="53"/>
  <c r="U19" i="53"/>
  <c r="T19" i="53"/>
  <c r="S19" i="53"/>
  <c r="U18" i="53"/>
  <c r="T18" i="53"/>
  <c r="S18" i="53"/>
  <c r="U17" i="53"/>
  <c r="T17" i="53"/>
  <c r="S17" i="53"/>
  <c r="U16" i="53"/>
  <c r="T16" i="53"/>
  <c r="S16" i="53"/>
  <c r="U15" i="53"/>
  <c r="T15" i="53"/>
  <c r="S15" i="53"/>
  <c r="U14" i="53"/>
  <c r="T14" i="53"/>
  <c r="S14" i="53"/>
  <c r="U13" i="53"/>
  <c r="T13" i="53"/>
  <c r="S13" i="53"/>
  <c r="U12" i="53"/>
  <c r="T12" i="53"/>
  <c r="S12" i="53"/>
  <c r="U11" i="53"/>
  <c r="T11" i="53"/>
  <c r="S11" i="53"/>
  <c r="AK10" i="53"/>
  <c r="AJ10" i="53"/>
  <c r="AI10" i="53"/>
  <c r="U10" i="53"/>
  <c r="T10" i="53"/>
  <c r="S10" i="53"/>
  <c r="U33" i="52"/>
  <c r="T33" i="52"/>
  <c r="S33" i="52"/>
  <c r="U32" i="52"/>
  <c r="T32" i="52"/>
  <c r="S32" i="52"/>
  <c r="U31" i="52"/>
  <c r="T31" i="52"/>
  <c r="S31" i="52"/>
  <c r="U30" i="52"/>
  <c r="T30" i="52"/>
  <c r="S30" i="52"/>
  <c r="U29" i="52"/>
  <c r="T29" i="52"/>
  <c r="S29" i="52"/>
  <c r="U28" i="52"/>
  <c r="T28" i="52"/>
  <c r="S28" i="52"/>
  <c r="U27" i="52"/>
  <c r="T27" i="52"/>
  <c r="S27" i="52"/>
  <c r="U26" i="52"/>
  <c r="T26" i="52"/>
  <c r="S26" i="52"/>
  <c r="U25" i="52"/>
  <c r="T25" i="52"/>
  <c r="S25" i="52"/>
  <c r="U24" i="52"/>
  <c r="T24" i="52"/>
  <c r="S24" i="52"/>
  <c r="U23" i="52"/>
  <c r="T23" i="52"/>
  <c r="S23" i="52"/>
  <c r="U22" i="52"/>
  <c r="T22" i="52"/>
  <c r="S22" i="52"/>
  <c r="U21" i="52"/>
  <c r="T21" i="52"/>
  <c r="S21" i="52"/>
  <c r="U20" i="52"/>
  <c r="T20" i="52"/>
  <c r="S20" i="52"/>
  <c r="U19" i="52"/>
  <c r="T19" i="52"/>
  <c r="S19" i="52"/>
  <c r="U18" i="52"/>
  <c r="T18" i="52"/>
  <c r="S18" i="52"/>
  <c r="U17" i="52"/>
  <c r="T17" i="52"/>
  <c r="S17" i="52"/>
  <c r="U16" i="52"/>
  <c r="T16" i="52"/>
  <c r="S16" i="52"/>
  <c r="U15" i="52"/>
  <c r="T15" i="52"/>
  <c r="S15" i="52"/>
  <c r="U14" i="52"/>
  <c r="T14" i="52"/>
  <c r="S14" i="52"/>
  <c r="U13" i="52"/>
  <c r="T13" i="52"/>
  <c r="S13" i="52"/>
  <c r="U12" i="52"/>
  <c r="T12" i="52"/>
  <c r="S12" i="52"/>
  <c r="U11" i="52"/>
  <c r="T11" i="52"/>
  <c r="S11" i="52"/>
  <c r="AK10" i="52"/>
  <c r="AJ10" i="52"/>
  <c r="AI10" i="52"/>
  <c r="U10" i="52"/>
  <c r="T10" i="52"/>
  <c r="S10" i="52"/>
  <c r="U31" i="51"/>
  <c r="T31" i="51"/>
  <c r="S31" i="51"/>
  <c r="J31" i="51"/>
  <c r="H31" i="51"/>
  <c r="U30" i="51"/>
  <c r="T30" i="51"/>
  <c r="S30" i="51"/>
  <c r="K30" i="51"/>
  <c r="J30" i="51"/>
  <c r="H30" i="51"/>
  <c r="U29" i="51"/>
  <c r="T29" i="51"/>
  <c r="S29" i="51"/>
  <c r="K29" i="51"/>
  <c r="J29" i="51"/>
  <c r="H29" i="51"/>
  <c r="U28" i="51"/>
  <c r="T28" i="51"/>
  <c r="S28" i="51"/>
  <c r="K28" i="51"/>
  <c r="J28" i="51"/>
  <c r="H28" i="51"/>
  <c r="U27" i="51"/>
  <c r="T27" i="51"/>
  <c r="S27" i="51"/>
  <c r="K27" i="51"/>
  <c r="J27" i="51"/>
  <c r="H27" i="51"/>
  <c r="U26" i="51"/>
  <c r="T26" i="51"/>
  <c r="S26" i="51"/>
  <c r="K26" i="51"/>
  <c r="J26" i="51"/>
  <c r="H26" i="51"/>
  <c r="U25" i="51"/>
  <c r="T25" i="51"/>
  <c r="S25" i="51"/>
  <c r="K25" i="51"/>
  <c r="J25" i="51"/>
  <c r="H25" i="51"/>
  <c r="U24" i="51"/>
  <c r="T24" i="51"/>
  <c r="S24" i="51"/>
  <c r="K24" i="51"/>
  <c r="J24" i="51"/>
  <c r="H24" i="51"/>
  <c r="U23" i="51"/>
  <c r="T23" i="51"/>
  <c r="S23" i="51"/>
  <c r="K23" i="51"/>
  <c r="J23" i="51"/>
  <c r="H23" i="51"/>
  <c r="U22" i="51"/>
  <c r="T22" i="51"/>
  <c r="S22" i="51"/>
  <c r="K22" i="51"/>
  <c r="J22" i="51"/>
  <c r="H22" i="51"/>
  <c r="U21" i="51"/>
  <c r="T21" i="51"/>
  <c r="S21" i="51"/>
  <c r="K21" i="51"/>
  <c r="J21" i="51"/>
  <c r="H21" i="51"/>
  <c r="U20" i="51"/>
  <c r="T20" i="51"/>
  <c r="S20" i="51"/>
  <c r="K20" i="51"/>
  <c r="J20" i="51"/>
  <c r="H20" i="51"/>
  <c r="U19" i="51"/>
  <c r="T19" i="51"/>
  <c r="S19" i="51"/>
  <c r="K19" i="51"/>
  <c r="J19" i="51"/>
  <c r="H19" i="51"/>
  <c r="U18" i="51"/>
  <c r="T18" i="51"/>
  <c r="S18" i="51"/>
  <c r="K18" i="51"/>
  <c r="J18" i="51"/>
  <c r="H18" i="51"/>
  <c r="U17" i="51"/>
  <c r="T17" i="51"/>
  <c r="S17" i="51"/>
  <c r="K17" i="51"/>
  <c r="J17" i="51"/>
  <c r="H17" i="51"/>
  <c r="U16" i="51"/>
  <c r="T16" i="51"/>
  <c r="S16" i="51"/>
  <c r="K16" i="51"/>
  <c r="J16" i="51"/>
  <c r="H16" i="51"/>
  <c r="U15" i="51"/>
  <c r="T15" i="51"/>
  <c r="S15" i="51"/>
  <c r="K15" i="51"/>
  <c r="J15" i="51"/>
  <c r="H15" i="51"/>
  <c r="U14" i="51"/>
  <c r="T14" i="51"/>
  <c r="S14" i="51"/>
  <c r="K14" i="51"/>
  <c r="J14" i="51"/>
  <c r="H14" i="51"/>
  <c r="U13" i="51"/>
  <c r="T13" i="51"/>
  <c r="S13" i="51"/>
  <c r="K13" i="51"/>
  <c r="J13" i="51"/>
  <c r="H13" i="51"/>
  <c r="U12" i="51"/>
  <c r="T12" i="51"/>
  <c r="S12" i="51"/>
  <c r="K12" i="51"/>
  <c r="J12" i="51"/>
  <c r="U11" i="51"/>
  <c r="T11" i="51"/>
  <c r="S11" i="51"/>
  <c r="K11" i="51"/>
  <c r="J11" i="51"/>
  <c r="H11" i="51"/>
  <c r="AK10" i="51"/>
  <c r="AJ10" i="51"/>
  <c r="AI10" i="51"/>
  <c r="U10" i="51"/>
  <c r="T10" i="51"/>
  <c r="S10" i="51"/>
  <c r="K10" i="51"/>
  <c r="J10" i="51"/>
  <c r="H10" i="51"/>
  <c r="U25" i="50"/>
  <c r="T25" i="50"/>
  <c r="S25" i="50"/>
  <c r="K25" i="50"/>
  <c r="J25" i="50"/>
  <c r="U24" i="50"/>
  <c r="T24" i="50"/>
  <c r="S24" i="50"/>
  <c r="K24" i="50"/>
  <c r="J24" i="50"/>
  <c r="H24" i="50"/>
  <c r="U23" i="50"/>
  <c r="T23" i="50"/>
  <c r="S23" i="50"/>
  <c r="K23" i="50"/>
  <c r="J23" i="50"/>
  <c r="H23" i="50"/>
  <c r="U22" i="50"/>
  <c r="T22" i="50"/>
  <c r="S22" i="50"/>
  <c r="K22" i="50"/>
  <c r="J22" i="50"/>
  <c r="H22" i="50"/>
  <c r="U21" i="50"/>
  <c r="T21" i="50"/>
  <c r="S21" i="50"/>
  <c r="K21" i="50"/>
  <c r="J21" i="50"/>
  <c r="H21" i="50"/>
  <c r="U20" i="50"/>
  <c r="T20" i="50"/>
  <c r="S20" i="50"/>
  <c r="K20" i="50"/>
  <c r="J20" i="50"/>
  <c r="H20" i="50"/>
  <c r="U19" i="50"/>
  <c r="T19" i="50"/>
  <c r="S19" i="50"/>
  <c r="K19" i="50"/>
  <c r="J19" i="50"/>
  <c r="H19" i="50"/>
  <c r="U18" i="50"/>
  <c r="T18" i="50"/>
  <c r="S18" i="50"/>
  <c r="K18" i="50"/>
  <c r="J18" i="50"/>
  <c r="H18" i="50"/>
  <c r="U17" i="50"/>
  <c r="T17" i="50"/>
  <c r="S17" i="50"/>
  <c r="K17" i="50"/>
  <c r="J17" i="50"/>
  <c r="H17" i="50"/>
  <c r="U16" i="50"/>
  <c r="T16" i="50"/>
  <c r="S16" i="50"/>
  <c r="K16" i="50"/>
  <c r="J16" i="50"/>
  <c r="H16" i="50"/>
  <c r="U15" i="50"/>
  <c r="T15" i="50"/>
  <c r="S15" i="50"/>
  <c r="K15" i="50"/>
  <c r="J15" i="50"/>
  <c r="H15" i="50"/>
  <c r="U14" i="50"/>
  <c r="T14" i="50"/>
  <c r="S14" i="50"/>
  <c r="K14" i="50"/>
  <c r="J14" i="50"/>
  <c r="H14" i="50"/>
  <c r="U13" i="50"/>
  <c r="T13" i="50"/>
  <c r="S13" i="50"/>
  <c r="K13" i="50"/>
  <c r="J13" i="50"/>
  <c r="U12" i="50"/>
  <c r="T12" i="50"/>
  <c r="S12" i="50"/>
  <c r="K12" i="50"/>
  <c r="J12" i="50"/>
  <c r="H12" i="50"/>
  <c r="U11" i="50"/>
  <c r="T11" i="50"/>
  <c r="S11" i="50"/>
  <c r="K11" i="50"/>
  <c r="J11" i="50"/>
  <c r="H11" i="50"/>
  <c r="AK10" i="50"/>
  <c r="AJ10" i="50"/>
  <c r="AI10" i="50"/>
  <c r="U10" i="50"/>
  <c r="T10" i="50"/>
  <c r="S10" i="50"/>
  <c r="K10" i="50"/>
  <c r="J10" i="50"/>
  <c r="H10" i="50"/>
  <c r="U28" i="49"/>
  <c r="T28" i="49"/>
  <c r="S28" i="49"/>
  <c r="J28" i="49"/>
  <c r="U27" i="49"/>
  <c r="T27" i="49"/>
  <c r="S27" i="49"/>
  <c r="K27" i="49"/>
  <c r="J27" i="49"/>
  <c r="U26" i="49"/>
  <c r="T26" i="49"/>
  <c r="S26" i="49"/>
  <c r="K26" i="49"/>
  <c r="J26" i="49"/>
  <c r="H26" i="49"/>
  <c r="U25" i="49"/>
  <c r="T25" i="49"/>
  <c r="S25" i="49"/>
  <c r="J25" i="49"/>
  <c r="H25" i="49"/>
  <c r="U24" i="49"/>
  <c r="T24" i="49"/>
  <c r="S24" i="49"/>
  <c r="K24" i="49"/>
  <c r="J24" i="49"/>
  <c r="H24" i="49"/>
  <c r="U23" i="49"/>
  <c r="T23" i="49"/>
  <c r="S23" i="49"/>
  <c r="K23" i="49"/>
  <c r="J23" i="49"/>
  <c r="H23" i="49"/>
  <c r="U22" i="49"/>
  <c r="T22" i="49"/>
  <c r="S22" i="49"/>
  <c r="K22" i="49"/>
  <c r="J22" i="49"/>
  <c r="H22" i="49"/>
  <c r="U21" i="49"/>
  <c r="T21" i="49"/>
  <c r="S21" i="49"/>
  <c r="K21" i="49"/>
  <c r="J21" i="49"/>
  <c r="H21" i="49"/>
  <c r="U20" i="49"/>
  <c r="T20" i="49"/>
  <c r="S20" i="49"/>
  <c r="K20" i="49"/>
  <c r="J20" i="49"/>
  <c r="H20" i="49"/>
  <c r="U19" i="49"/>
  <c r="T19" i="49"/>
  <c r="S19" i="49"/>
  <c r="K19" i="49"/>
  <c r="J19" i="49"/>
  <c r="H19" i="49"/>
  <c r="U18" i="49"/>
  <c r="T18" i="49"/>
  <c r="S18" i="49"/>
  <c r="K18" i="49"/>
  <c r="J18" i="49"/>
  <c r="H18" i="49"/>
  <c r="U17" i="49"/>
  <c r="T17" i="49"/>
  <c r="S17" i="49"/>
  <c r="J17" i="49"/>
  <c r="U16" i="49"/>
  <c r="T16" i="49"/>
  <c r="S16" i="49"/>
  <c r="K16" i="49"/>
  <c r="J16" i="49"/>
  <c r="H16" i="49"/>
  <c r="U15" i="49"/>
  <c r="T15" i="49"/>
  <c r="S15" i="49"/>
  <c r="K15" i="49"/>
  <c r="J15" i="49"/>
  <c r="H15" i="49"/>
  <c r="U14" i="49"/>
  <c r="T14" i="49"/>
  <c r="S14" i="49"/>
  <c r="K14" i="49"/>
  <c r="J14" i="49"/>
  <c r="H14" i="49"/>
  <c r="U13" i="49"/>
  <c r="T13" i="49"/>
  <c r="S13" i="49"/>
  <c r="K13" i="49"/>
  <c r="J13" i="49"/>
  <c r="H13" i="49"/>
  <c r="U12" i="49"/>
  <c r="T12" i="49"/>
  <c r="S12" i="49"/>
  <c r="K12" i="49"/>
  <c r="J12" i="49"/>
  <c r="H12" i="49"/>
  <c r="U11" i="49"/>
  <c r="T11" i="49"/>
  <c r="S11" i="49"/>
  <c r="K11" i="49"/>
  <c r="J11" i="49"/>
  <c r="H11" i="49"/>
  <c r="AK10" i="49"/>
  <c r="AJ10" i="49"/>
  <c r="AI10" i="49"/>
  <c r="U10" i="49"/>
  <c r="T10" i="49"/>
  <c r="S10" i="49"/>
  <c r="K10" i="49"/>
  <c r="J10" i="49"/>
  <c r="H10" i="49"/>
  <c r="U22" i="48"/>
  <c r="T22" i="48"/>
  <c r="S22" i="48"/>
  <c r="K22" i="48"/>
  <c r="J22" i="48"/>
  <c r="H22" i="48"/>
  <c r="U21" i="48"/>
  <c r="T21" i="48"/>
  <c r="S21" i="48"/>
  <c r="K21" i="48"/>
  <c r="J21" i="48"/>
  <c r="H21" i="48"/>
  <c r="U20" i="48"/>
  <c r="T20" i="48"/>
  <c r="S20" i="48"/>
  <c r="K20" i="48"/>
  <c r="J20" i="48"/>
  <c r="H20" i="48"/>
  <c r="U19" i="48"/>
  <c r="T19" i="48"/>
  <c r="S19" i="48"/>
  <c r="K19" i="48"/>
  <c r="J19" i="48"/>
  <c r="H19" i="48"/>
  <c r="U18" i="48"/>
  <c r="T18" i="48"/>
  <c r="S18" i="48"/>
  <c r="K18" i="48"/>
  <c r="J18" i="48"/>
  <c r="H18" i="48"/>
  <c r="U17" i="48"/>
  <c r="T17" i="48"/>
  <c r="S17" i="48"/>
  <c r="K17" i="48"/>
  <c r="J17" i="48"/>
  <c r="H17" i="48"/>
  <c r="U16" i="48"/>
  <c r="T16" i="48"/>
  <c r="S16" i="48"/>
  <c r="J16" i="48"/>
  <c r="H16" i="48"/>
  <c r="U15" i="48"/>
  <c r="T15" i="48"/>
  <c r="S15" i="48"/>
  <c r="K15" i="48"/>
  <c r="J15" i="48"/>
  <c r="H15" i="48"/>
  <c r="U14" i="48"/>
  <c r="T14" i="48"/>
  <c r="S14" i="48"/>
  <c r="K14" i="48"/>
  <c r="J14" i="48"/>
  <c r="H14" i="48"/>
  <c r="U13" i="48"/>
  <c r="T13" i="48"/>
  <c r="S13" i="48"/>
  <c r="K13" i="48"/>
  <c r="J13" i="48"/>
  <c r="H13" i="48"/>
  <c r="U12" i="48"/>
  <c r="T12" i="48"/>
  <c r="S12" i="48"/>
  <c r="K12" i="48"/>
  <c r="J12" i="48"/>
  <c r="H12" i="48"/>
  <c r="U11" i="48"/>
  <c r="T11" i="48"/>
  <c r="S11" i="48"/>
  <c r="K11" i="48"/>
  <c r="J11" i="48"/>
  <c r="H11" i="48"/>
  <c r="AK10" i="48"/>
  <c r="AJ10" i="48"/>
  <c r="AI10" i="48"/>
  <c r="U10" i="48"/>
  <c r="T10" i="48"/>
  <c r="S10" i="48"/>
  <c r="K10" i="48"/>
  <c r="J10" i="48"/>
  <c r="H10" i="48"/>
  <c r="U22" i="47"/>
  <c r="T22" i="47"/>
  <c r="S22" i="47"/>
  <c r="K22" i="47"/>
  <c r="J22" i="47"/>
  <c r="H22" i="47"/>
  <c r="U21" i="47"/>
  <c r="T21" i="47"/>
  <c r="S21" i="47"/>
  <c r="K21" i="47"/>
  <c r="J21" i="47"/>
  <c r="H21" i="47"/>
  <c r="U20" i="47"/>
  <c r="T20" i="47"/>
  <c r="S20" i="47"/>
  <c r="K20" i="47"/>
  <c r="J20" i="47"/>
  <c r="H20" i="47"/>
  <c r="U19" i="47"/>
  <c r="T19" i="47"/>
  <c r="S19" i="47"/>
  <c r="K19" i="47"/>
  <c r="H19" i="47"/>
  <c r="U18" i="47"/>
  <c r="T18" i="47"/>
  <c r="S18" i="47"/>
  <c r="K18" i="47"/>
  <c r="J18" i="47"/>
  <c r="H18" i="47"/>
  <c r="U17" i="47"/>
  <c r="T17" i="47"/>
  <c r="S17" i="47"/>
  <c r="K17" i="47"/>
  <c r="J17" i="47"/>
  <c r="H17" i="47"/>
  <c r="U16" i="47"/>
  <c r="T16" i="47"/>
  <c r="S16" i="47"/>
  <c r="H16" i="47"/>
  <c r="U15" i="47"/>
  <c r="T15" i="47"/>
  <c r="S15" i="47"/>
  <c r="K15" i="47"/>
  <c r="J15" i="47"/>
  <c r="H15" i="47"/>
  <c r="U14" i="47"/>
  <c r="T14" i="47"/>
  <c r="S14" i="47"/>
  <c r="K14" i="47"/>
  <c r="J14" i="47"/>
  <c r="H14" i="47"/>
  <c r="U13" i="47"/>
  <c r="T13" i="47"/>
  <c r="S13" i="47"/>
  <c r="K13" i="47"/>
  <c r="J13" i="47"/>
  <c r="H13" i="47"/>
  <c r="U12" i="47"/>
  <c r="T12" i="47"/>
  <c r="S12" i="47"/>
  <c r="K12" i="47"/>
  <c r="J12" i="47"/>
  <c r="H12" i="47"/>
  <c r="U11" i="47"/>
  <c r="T11" i="47"/>
  <c r="S11" i="47"/>
  <c r="K11" i="47"/>
  <c r="H11" i="47"/>
  <c r="AK10" i="47"/>
  <c r="AJ10" i="47"/>
  <c r="U10" i="47"/>
  <c r="T10" i="47"/>
  <c r="S10" i="47"/>
  <c r="K10" i="47"/>
  <c r="J10" i="47"/>
  <c r="H10" i="47"/>
  <c r="U23" i="46"/>
  <c r="T23" i="46"/>
  <c r="S23" i="46"/>
  <c r="K23" i="46"/>
  <c r="J23" i="46"/>
  <c r="H23" i="46"/>
  <c r="U22" i="46"/>
  <c r="T22" i="46"/>
  <c r="S22" i="46"/>
  <c r="K22" i="46"/>
  <c r="J22" i="46"/>
  <c r="H22" i="46"/>
  <c r="U21" i="46"/>
  <c r="T21" i="46"/>
  <c r="S21" i="46"/>
  <c r="K21" i="46"/>
  <c r="J21" i="46"/>
  <c r="H21" i="46"/>
  <c r="U20" i="46"/>
  <c r="T20" i="46"/>
  <c r="S20" i="46"/>
  <c r="K20" i="46"/>
  <c r="J20" i="46"/>
  <c r="H20" i="46"/>
  <c r="U19" i="46"/>
  <c r="T19" i="46"/>
  <c r="S19" i="46"/>
  <c r="K19" i="46"/>
  <c r="J19" i="46"/>
  <c r="H19" i="46"/>
  <c r="U18" i="46"/>
  <c r="T18" i="46"/>
  <c r="S18" i="46"/>
  <c r="K18" i="46"/>
  <c r="J18" i="46"/>
  <c r="H18" i="46"/>
  <c r="U17" i="46"/>
  <c r="T17" i="46"/>
  <c r="S17" i="46"/>
  <c r="K17" i="46"/>
  <c r="J17" i="46"/>
  <c r="U16" i="46"/>
  <c r="T16" i="46"/>
  <c r="S16" i="46"/>
  <c r="K16" i="46"/>
  <c r="J16" i="46"/>
  <c r="H16" i="46"/>
  <c r="U15" i="46"/>
  <c r="T15" i="46"/>
  <c r="S15" i="46"/>
  <c r="K15" i="46"/>
  <c r="J15" i="46"/>
  <c r="H15" i="46"/>
  <c r="U14" i="46"/>
  <c r="T14" i="46"/>
  <c r="S14" i="46"/>
  <c r="K14" i="46"/>
  <c r="J14" i="46"/>
  <c r="H14" i="46"/>
  <c r="U13" i="46"/>
  <c r="T13" i="46"/>
  <c r="S13" i="46"/>
  <c r="K13" i="46"/>
  <c r="J13" i="46"/>
  <c r="H13" i="46"/>
  <c r="U12" i="46"/>
  <c r="T12" i="46"/>
  <c r="S12" i="46"/>
  <c r="K12" i="46"/>
  <c r="J12" i="46"/>
  <c r="H12" i="46"/>
  <c r="U11" i="46"/>
  <c r="T11" i="46"/>
  <c r="S11" i="46"/>
  <c r="J11" i="46"/>
  <c r="AK10" i="46"/>
  <c r="AJ10" i="46"/>
  <c r="AI10" i="46"/>
  <c r="U10" i="46"/>
  <c r="T10" i="46"/>
  <c r="S10" i="46"/>
  <c r="K10" i="46"/>
  <c r="J10" i="46"/>
  <c r="H10" i="46"/>
  <c r="U25" i="45"/>
  <c r="T25" i="45"/>
  <c r="S25" i="45"/>
  <c r="K25" i="45"/>
  <c r="J25" i="45"/>
  <c r="H25" i="45"/>
  <c r="U24" i="45"/>
  <c r="T24" i="45"/>
  <c r="S24" i="45"/>
  <c r="K24" i="45"/>
  <c r="J24" i="45"/>
  <c r="H24" i="45"/>
  <c r="U23" i="45"/>
  <c r="T23" i="45"/>
  <c r="S23" i="45"/>
  <c r="K23" i="45"/>
  <c r="J23" i="45"/>
  <c r="H23" i="45"/>
  <c r="U22" i="45"/>
  <c r="T22" i="45"/>
  <c r="S22" i="45"/>
  <c r="J22" i="45"/>
  <c r="U21" i="45"/>
  <c r="T21" i="45"/>
  <c r="S21" i="45"/>
  <c r="K21" i="45"/>
  <c r="J21" i="45"/>
  <c r="H21" i="45"/>
  <c r="U20" i="45"/>
  <c r="T20" i="45"/>
  <c r="S20" i="45"/>
  <c r="K20" i="45"/>
  <c r="J20" i="45"/>
  <c r="H20" i="45"/>
  <c r="U19" i="45"/>
  <c r="T19" i="45"/>
  <c r="S19" i="45"/>
  <c r="J19" i="45"/>
  <c r="H19" i="45"/>
  <c r="U18" i="45"/>
  <c r="T18" i="45"/>
  <c r="S18" i="45"/>
  <c r="K18" i="45"/>
  <c r="J18" i="45"/>
  <c r="H18" i="45"/>
  <c r="U17" i="45"/>
  <c r="T17" i="45"/>
  <c r="S17" i="45"/>
  <c r="K17" i="45"/>
  <c r="J17" i="45"/>
  <c r="H17" i="45"/>
  <c r="U16" i="45"/>
  <c r="T16" i="45"/>
  <c r="S16" i="45"/>
  <c r="K16" i="45"/>
  <c r="J16" i="45"/>
  <c r="H16" i="45"/>
  <c r="U15" i="45"/>
  <c r="T15" i="45"/>
  <c r="S15" i="45"/>
  <c r="K15" i="45"/>
  <c r="J15" i="45"/>
  <c r="H15" i="45"/>
  <c r="U14" i="45"/>
  <c r="T14" i="45"/>
  <c r="S14" i="45"/>
  <c r="J14" i="45"/>
  <c r="H14" i="45"/>
  <c r="U13" i="45"/>
  <c r="T13" i="45"/>
  <c r="S13" i="45"/>
  <c r="J13" i="45"/>
  <c r="H13" i="45"/>
  <c r="U12" i="45"/>
  <c r="T12" i="45"/>
  <c r="S12" i="45"/>
  <c r="K12" i="45"/>
  <c r="J12" i="45"/>
  <c r="H12" i="45"/>
  <c r="U11" i="45"/>
  <c r="T11" i="45"/>
  <c r="S11" i="45"/>
  <c r="K11" i="45"/>
  <c r="J11" i="45"/>
  <c r="H11" i="45"/>
  <c r="AK10" i="45"/>
  <c r="AJ10" i="45"/>
  <c r="AI10" i="45"/>
  <c r="U10" i="45"/>
  <c r="T10" i="45"/>
  <c r="S10" i="45"/>
  <c r="K10" i="45"/>
  <c r="J10" i="45"/>
  <c r="H10" i="45"/>
  <c r="U22" i="44"/>
  <c r="T22" i="44"/>
  <c r="S22" i="44"/>
  <c r="U21" i="44"/>
  <c r="T21" i="44"/>
  <c r="S21" i="44"/>
  <c r="U20" i="44"/>
  <c r="T20" i="44"/>
  <c r="S20" i="44"/>
  <c r="U19" i="44"/>
  <c r="T19" i="44"/>
  <c r="S19" i="44"/>
  <c r="U18" i="44"/>
  <c r="T18" i="44"/>
  <c r="S18" i="44"/>
  <c r="U17" i="44"/>
  <c r="T17" i="44"/>
  <c r="S17" i="44"/>
  <c r="U16" i="44"/>
  <c r="T16" i="44"/>
  <c r="S16" i="44"/>
  <c r="U15" i="44"/>
  <c r="T15" i="44"/>
  <c r="S15" i="44"/>
  <c r="U14" i="44"/>
  <c r="T14" i="44"/>
  <c r="S14" i="44"/>
  <c r="U13" i="44"/>
  <c r="T13" i="44"/>
  <c r="S13" i="44"/>
  <c r="U12" i="44"/>
  <c r="T12" i="44"/>
  <c r="S12" i="44"/>
  <c r="U11" i="44"/>
  <c r="T11" i="44"/>
  <c r="S11" i="44"/>
  <c r="AK10" i="44"/>
  <c r="AJ10" i="44"/>
  <c r="AI10" i="44"/>
  <c r="U10" i="44"/>
  <c r="T10" i="44"/>
  <c r="S10" i="44"/>
  <c r="U19" i="43"/>
  <c r="T19" i="43"/>
  <c r="S19" i="43"/>
  <c r="U18" i="43"/>
  <c r="T18" i="43"/>
  <c r="S18" i="43"/>
  <c r="U17" i="43"/>
  <c r="T17" i="43"/>
  <c r="S17" i="43"/>
  <c r="U16" i="43"/>
  <c r="T16" i="43"/>
  <c r="S16" i="43"/>
  <c r="U15" i="43"/>
  <c r="T15" i="43"/>
  <c r="S15" i="43"/>
  <c r="U14" i="43"/>
  <c r="T14" i="43"/>
  <c r="S14" i="43"/>
  <c r="U13" i="43"/>
  <c r="T13" i="43"/>
  <c r="S13" i="43"/>
  <c r="U12" i="43"/>
  <c r="T12" i="43"/>
  <c r="S12" i="43"/>
  <c r="U11" i="43"/>
  <c r="T11" i="43"/>
  <c r="S11" i="43"/>
  <c r="AK10" i="43"/>
  <c r="AJ10" i="43"/>
  <c r="AI10" i="43"/>
  <c r="U10" i="43"/>
  <c r="T10" i="43"/>
  <c r="S10" i="43"/>
  <c r="S11" i="42"/>
  <c r="S12" i="42"/>
  <c r="S13" i="42"/>
  <c r="S14" i="42"/>
  <c r="S15" i="42"/>
  <c r="S16" i="42"/>
  <c r="S17" i="42"/>
  <c r="S18" i="42"/>
  <c r="S10" i="42"/>
  <c r="Y14" i="49" l="1"/>
  <c r="Y14" i="50"/>
  <c r="Y14" i="48"/>
  <c r="Y14" i="45"/>
  <c r="Y14" i="52"/>
  <c r="Y14" i="47"/>
  <c r="Y14" i="44"/>
  <c r="Y14" i="43"/>
  <c r="Y14" i="46"/>
  <c r="Y14" i="51"/>
  <c r="AB10" i="53"/>
  <c r="AE10" i="53"/>
  <c r="Y14" i="53"/>
  <c r="AH10" i="53"/>
  <c r="AA10" i="53"/>
  <c r="AC10" i="52"/>
  <c r="Z10" i="52"/>
  <c r="Y10" i="52"/>
  <c r="AH10" i="52"/>
  <c r="AG10" i="52"/>
  <c r="AF10" i="51"/>
  <c r="Z10" i="51"/>
  <c r="AD10" i="51"/>
  <c r="AH10" i="51"/>
  <c r="AG10" i="51"/>
  <c r="Y10" i="51"/>
  <c r="AG10" i="50"/>
  <c r="AA10" i="50"/>
  <c r="AD10" i="50"/>
  <c r="AH10" i="50"/>
  <c r="AC10" i="53"/>
  <c r="AD10" i="53"/>
  <c r="AF10" i="53"/>
  <c r="Y10" i="53"/>
  <c r="AG10" i="53"/>
  <c r="Z10" i="53"/>
  <c r="AB10" i="52"/>
  <c r="AD10" i="52"/>
  <c r="AA10" i="52"/>
  <c r="AE10" i="52"/>
  <c r="AF10" i="52"/>
  <c r="AB10" i="49"/>
  <c r="AF10" i="49"/>
  <c r="AA10" i="49"/>
  <c r="AH10" i="49"/>
  <c r="Z10" i="48"/>
  <c r="AC10" i="48"/>
  <c r="AG10" i="48"/>
  <c r="AH10" i="48"/>
  <c r="AD10" i="47"/>
  <c r="AH10" i="47"/>
  <c r="Z10" i="47"/>
  <c r="AG10" i="47"/>
  <c r="AA10" i="47"/>
  <c r="AB10" i="46"/>
  <c r="Z10" i="46"/>
  <c r="AA10" i="46"/>
  <c r="AF10" i="46"/>
  <c r="AH10" i="46"/>
  <c r="AB10" i="45"/>
  <c r="AA10" i="45"/>
  <c r="AH10" i="45"/>
  <c r="AH10" i="44"/>
  <c r="AD10" i="44"/>
  <c r="AA10" i="44"/>
  <c r="AH10" i="43"/>
  <c r="Z10" i="43"/>
  <c r="Y10" i="43"/>
  <c r="AD10" i="43"/>
  <c r="AG10" i="43"/>
  <c r="AF10" i="43"/>
  <c r="AA10" i="43"/>
  <c r="AC10" i="51"/>
  <c r="AA10" i="51"/>
  <c r="AE10" i="51"/>
  <c r="AB10" i="51"/>
  <c r="AC10" i="50"/>
  <c r="AB10" i="50"/>
  <c r="AE10" i="50"/>
  <c r="AF10" i="50"/>
  <c r="Y10" i="50"/>
  <c r="Z10" i="50"/>
  <c r="AC10" i="49"/>
  <c r="AD10" i="49"/>
  <c r="AE10" i="49"/>
  <c r="Y10" i="49"/>
  <c r="AG10" i="49"/>
  <c r="Z10" i="49"/>
  <c r="AA10" i="48"/>
  <c r="AD10" i="48"/>
  <c r="AE10" i="48"/>
  <c r="AB10" i="48"/>
  <c r="AF10" i="48"/>
  <c r="Y10" i="48"/>
  <c r="AC10" i="47"/>
  <c r="AF10" i="47"/>
  <c r="AB10" i="47"/>
  <c r="AE10" i="47"/>
  <c r="Y10" i="47"/>
  <c r="AC10" i="46"/>
  <c r="AD10" i="46"/>
  <c r="AE10" i="46"/>
  <c r="Y10" i="46"/>
  <c r="AG10" i="46"/>
  <c r="AC10" i="45"/>
  <c r="AD10" i="45"/>
  <c r="AE10" i="45"/>
  <c r="AF10" i="45"/>
  <c r="Y10" i="45"/>
  <c r="Y11" i="45" s="1"/>
  <c r="AG10" i="45"/>
  <c r="Z10" i="45"/>
  <c r="AB10" i="44"/>
  <c r="AC10" i="44"/>
  <c r="AE10" i="44"/>
  <c r="AF10" i="44"/>
  <c r="Y10" i="44"/>
  <c r="AG10" i="44"/>
  <c r="Z10" i="44"/>
  <c r="AB10" i="43"/>
  <c r="AC10" i="43"/>
  <c r="AE10" i="43"/>
  <c r="Y11" i="51" l="1"/>
  <c r="Y13" i="53"/>
  <c r="Y12" i="53"/>
  <c r="Y11" i="52"/>
  <c r="Y12" i="52"/>
  <c r="Y13" i="51"/>
  <c r="Y12" i="50"/>
  <c r="Y11" i="53"/>
  <c r="Y13" i="52"/>
  <c r="Y13" i="49"/>
  <c r="Y12" i="49"/>
  <c r="Y11" i="49"/>
  <c r="Y11" i="48"/>
  <c r="Y13" i="48"/>
  <c r="Y13" i="47"/>
  <c r="Y12" i="47"/>
  <c r="Y11" i="47"/>
  <c r="Y12" i="46"/>
  <c r="Y11" i="46"/>
  <c r="Y13" i="46"/>
  <c r="Y12" i="45"/>
  <c r="Y13" i="43"/>
  <c r="Y11" i="43"/>
  <c r="Y12" i="43"/>
  <c r="Y12" i="51"/>
  <c r="Y11" i="50"/>
  <c r="Y13" i="50"/>
  <c r="Y12" i="48"/>
  <c r="Y13" i="45"/>
  <c r="Y11" i="44"/>
  <c r="Y13" i="44"/>
  <c r="Y12" i="44"/>
  <c r="T11" i="42"/>
  <c r="T17" i="42"/>
  <c r="T18" i="42"/>
  <c r="U10" i="42"/>
  <c r="AI10" i="42"/>
  <c r="AJ10" i="42"/>
  <c r="U11" i="42"/>
  <c r="U12" i="42"/>
  <c r="U13" i="42"/>
  <c r="U14" i="42"/>
  <c r="U15" i="42"/>
  <c r="U16" i="42"/>
  <c r="U17" i="42"/>
  <c r="U18" i="42"/>
  <c r="T16" i="42"/>
  <c r="AK10" i="42"/>
  <c r="N15" i="19"/>
  <c r="AB1" i="19"/>
  <c r="K21" i="19"/>
  <c r="I52" i="19"/>
  <c r="I51" i="19"/>
  <c r="I50" i="19"/>
  <c r="I46" i="19"/>
  <c r="I44" i="19"/>
  <c r="I43" i="19"/>
  <c r="I45" i="19"/>
  <c r="I42" i="19"/>
  <c r="J34" i="19"/>
  <c r="J37" i="19"/>
  <c r="J36" i="19"/>
  <c r="J29" i="19"/>
  <c r="J27" i="19"/>
  <c r="J28" i="19"/>
  <c r="K22" i="19"/>
  <c r="K20" i="19"/>
  <c r="J33" i="19" l="1"/>
  <c r="M28" i="2"/>
  <c r="O34" i="19" s="1"/>
  <c r="AC28" i="19" s="1"/>
  <c r="J35" i="19"/>
  <c r="N28" i="2"/>
  <c r="O42" i="19" s="1"/>
  <c r="AC44" i="19" s="1"/>
  <c r="P28" i="2"/>
  <c r="O43" i="19" s="1"/>
  <c r="AC46" i="19" s="1"/>
  <c r="T28" i="2"/>
  <c r="O51" i="19" s="1"/>
  <c r="AC59" i="19" s="1"/>
  <c r="R28" i="2"/>
  <c r="O46" i="19" s="1"/>
  <c r="AC48" i="19" s="1"/>
  <c r="L28" i="2"/>
  <c r="O37" i="19" s="1"/>
  <c r="AC31" i="19" s="1"/>
  <c r="U28" i="2"/>
  <c r="O52" i="19" s="1"/>
  <c r="AC60" i="19" s="1"/>
  <c r="S28" i="2"/>
  <c r="O50" i="19" s="1"/>
  <c r="AC58" i="19" s="1"/>
  <c r="F28" i="2"/>
  <c r="O22" i="19" s="1"/>
  <c r="AC11" i="19" s="1"/>
  <c r="O28" i="2"/>
  <c r="O45" i="19" s="1"/>
  <c r="AC45" i="19" s="1"/>
  <c r="E15" i="19"/>
  <c r="T13" i="42"/>
  <c r="T12" i="42"/>
  <c r="T15" i="42"/>
  <c r="T14" i="42"/>
  <c r="T10" i="42"/>
  <c r="J28" i="2"/>
  <c r="O35" i="19" s="1"/>
  <c r="AC29" i="19" s="1"/>
  <c r="E28" i="2"/>
  <c r="O20" i="19" s="1"/>
  <c r="AC9" i="19" s="1"/>
  <c r="I28" i="2"/>
  <c r="O29" i="19" s="1"/>
  <c r="AC8" i="19" s="1"/>
  <c r="Q28" i="2"/>
  <c r="O44" i="19" s="1"/>
  <c r="AC47" i="19" s="1"/>
  <c r="H28" i="2"/>
  <c r="O27" i="19" s="1"/>
  <c r="AC6" i="19" s="1"/>
  <c r="D28" i="2"/>
  <c r="O21" i="19" s="1"/>
  <c r="AC10" i="19" s="1"/>
  <c r="G28" i="2"/>
  <c r="O28" i="19" s="1"/>
  <c r="AC7" i="19" s="1"/>
  <c r="K28" i="2"/>
  <c r="O36" i="19" s="1"/>
  <c r="AC30" i="19" s="1"/>
  <c r="Y14" i="42"/>
  <c r="O33" i="19" l="1"/>
  <c r="AC27" i="19" s="1"/>
  <c r="AD10" i="42"/>
  <c r="AB10" i="42"/>
  <c r="AC10" i="42"/>
  <c r="Z10" i="42"/>
  <c r="AE10" i="42"/>
  <c r="AA10" i="42"/>
  <c r="AG10" i="42"/>
  <c r="AH10" i="42"/>
  <c r="AF10" i="42"/>
  <c r="Y10" i="42"/>
  <c r="Y12" i="42" l="1"/>
  <c r="Y11" i="42"/>
  <c r="Y13" i="42"/>
</calcChain>
</file>

<file path=xl/sharedStrings.xml><?xml version="1.0" encoding="utf-8"?>
<sst xmlns="http://schemas.openxmlformats.org/spreadsheetml/2006/main" count="3322" uniqueCount="463">
  <si>
    <t>BẢNG TỔNG HỢP KHÁM SỨC KHỎE HỌC SINH</t>
  </si>
  <si>
    <t>TÊN ĐƠN VỊ</t>
  </si>
  <si>
    <t>ĐỊA CHỈ</t>
  </si>
  <si>
    <t>STT</t>
  </si>
  <si>
    <t>HỌ VÀ TÊN</t>
  </si>
  <si>
    <t>NGÀY SINH</t>
  </si>
  <si>
    <t>GIỚI TÍNH</t>
  </si>
  <si>
    <t>TÌNH TRẠNG DINH DƯỠNG</t>
  </si>
  <si>
    <t>KHÁM CHUYÊN KHOA</t>
  </si>
  <si>
    <t>PHÂN LOẠI 
SỨC KHỎE</t>
  </si>
  <si>
    <t>Nam</t>
  </si>
  <si>
    <t>Nữ</t>
  </si>
  <si>
    <t>Cân nặng
(kg)</t>
  </si>
  <si>
    <t>Kết quả</t>
  </si>
  <si>
    <t>Chiều cao
(cm)</t>
  </si>
  <si>
    <t>Cân nặng theo chiều cao</t>
  </si>
  <si>
    <t>NHI KHOA</t>
  </si>
  <si>
    <t>TAI MŨI HỌNG</t>
  </si>
  <si>
    <t>MẮT</t>
  </si>
  <si>
    <t>CƠ XƯƠNG KHỚP</t>
  </si>
  <si>
    <t>RĂNG HÀM MẶT</t>
  </si>
  <si>
    <t>CHUYÊN KHOA KHÁC</t>
  </si>
  <si>
    <t>Bt</t>
  </si>
  <si>
    <t>I</t>
  </si>
  <si>
    <t>GHI CHÚ CHỮ VIẾT TẮT:</t>
  </si>
  <si>
    <t>bt</t>
  </si>
  <si>
    <t>: Bình thường</t>
  </si>
  <si>
    <t>SDDTTC</t>
  </si>
  <si>
    <t>: Suy dinh dưỡng thể thấp còi</t>
  </si>
  <si>
    <t>SDDTNC</t>
  </si>
  <si>
    <t>: Suy dinh dưỡng thể nhẹ cân</t>
  </si>
  <si>
    <t>SDDTTCMĐN</t>
  </si>
  <si>
    <t>: Suy dinh dưỡng thể thấp còi mức độ nặng</t>
  </si>
  <si>
    <t>TC</t>
  </si>
  <si>
    <t>: Thừa cân</t>
  </si>
  <si>
    <t>SDDTGC</t>
  </si>
  <si>
    <t>: Suy dinh dưỡng thể gầy còm</t>
  </si>
  <si>
    <t>BP</t>
  </si>
  <si>
    <t>: Béo phì</t>
  </si>
  <si>
    <t>SDDTGCMĐN</t>
  </si>
  <si>
    <t>: Suy dinh dưỡng thể gầy còm mức độ nặng</t>
  </si>
  <si>
    <t>CNC</t>
  </si>
  <si>
    <t>: Cân nặng cao</t>
  </si>
  <si>
    <t xml:space="preserve">CHT </t>
  </si>
  <si>
    <t>: Cao hơn tuổi</t>
  </si>
  <si>
    <t>VP</t>
  </si>
  <si>
    <t>: Viêm phổi</t>
  </si>
  <si>
    <t>VMH</t>
  </si>
  <si>
    <t>: Viêm mũi họng</t>
  </si>
  <si>
    <t>Sr</t>
  </si>
  <si>
    <t>:  Sâu răng</t>
  </si>
  <si>
    <t>VMXT</t>
  </si>
  <si>
    <t>: Viêm mũi xuất tiết</t>
  </si>
  <si>
    <t>VHHT</t>
  </si>
  <si>
    <t>: Viêm hô hấp trên</t>
  </si>
  <si>
    <t>TKX</t>
  </si>
  <si>
    <t>: Tật khúc xa</t>
  </si>
  <si>
    <t>II</t>
  </si>
  <si>
    <t>SỞ Y TẾ KHÁNH HÒA</t>
  </si>
  <si>
    <t>CỘNG HÒA XÃ HỘI CHỦ NGHĨA VIỆT NAM</t>
  </si>
  <si>
    <t>PHÒNG KHÁM ĐA KHOA
PHÚC THIỆN NHÂN</t>
  </si>
  <si>
    <t>Độc Lập - Tự Do - Hạnh Phúc</t>
  </si>
  <si>
    <t>TÊN 
LỚP</t>
  </si>
  <si>
    <t>SỐ 
LƯỢNG</t>
  </si>
  <si>
    <t>PHÂN LOẠI BỆNH TẬT</t>
  </si>
  <si>
    <t xml:space="preserve">PHÂN LOẠI 
SỨC KHỎE </t>
  </si>
  <si>
    <t>Cân nặng</t>
  </si>
  <si>
    <t>Chiều cao</t>
  </si>
  <si>
    <t>Cân nặng
bình thường</t>
  </si>
  <si>
    <t>Suy dinh 
dưỡng thể nhẹ cân</t>
  </si>
  <si>
    <t>Cân nặng cao</t>
  </si>
  <si>
    <t>Chiều cao bình thường</t>
  </si>
  <si>
    <t>Suy dinh dưỡng thể thấp còi</t>
  </si>
  <si>
    <t>Cao hơn tuổi</t>
  </si>
  <si>
    <t>Bình thường</t>
  </si>
  <si>
    <t>Thừa cân</t>
  </si>
  <si>
    <t>Béo phì</t>
  </si>
  <si>
    <t>Suy dinh dưỡng thể gầy còm</t>
  </si>
  <si>
    <t>TAI
MŨI
HỌNG</t>
  </si>
  <si>
    <t>RĂNG
HÀM
MẶT</t>
  </si>
  <si>
    <t>KHÁC</t>
  </si>
  <si>
    <t>III</t>
  </si>
  <si>
    <t>Tổng cộng</t>
  </si>
  <si>
    <t>Tỷ lệ %</t>
  </si>
  <si>
    <t>NGƯỜI LẬP BẢNG</t>
  </si>
  <si>
    <t>ĐOÀN KHÁM</t>
  </si>
  <si>
    <t>THÁNG</t>
  </si>
  <si>
    <t xml:space="preserve">NGÀY CÂN ĐO </t>
  </si>
  <si>
    <t>TRẺ 0-5 TUỔI</t>
  </si>
  <si>
    <t>SDDTNC
MĐN</t>
  </si>
  <si>
    <t>TRẺ &gt; 5 TUỔI</t>
  </si>
  <si>
    <t>SDDTTC
MĐN</t>
  </si>
  <si>
    <t>CHT</t>
  </si>
  <si>
    <t>TRẺ 0-2 TUỔI</t>
  </si>
  <si>
    <t>SDDTGC
MĐN</t>
  </si>
  <si>
    <t>TRẺ 2-5 TUỔI</t>
  </si>
  <si>
    <t>Tháng tuổi</t>
  </si>
  <si>
    <t>BIỂU ĐỒ CHIỀU CAO THEO TUỔI</t>
  </si>
  <si>
    <t>Độc lập - Tự do - Hạnh phúc</t>
  </si>
  <si>
    <t>Suy dinh dưỡng thấp còi</t>
  </si>
  <si>
    <t>I. THÔNG TIN CHUNG:</t>
  </si>
  <si>
    <r>
      <rPr>
        <sz val="14"/>
        <rFont val="Calibri"/>
        <family val="2"/>
      </rPr>
      <t>‐</t>
    </r>
    <r>
      <rPr>
        <sz val="14"/>
        <rFont val="Times New Roman"/>
        <family val="1"/>
      </rPr>
      <t xml:space="preserve"> Tổng số học sinh</t>
    </r>
  </si>
  <si>
    <r>
      <rPr>
        <sz val="14"/>
        <rFont val="Calibri"/>
        <family val="2"/>
      </rPr>
      <t>‐</t>
    </r>
    <r>
      <rPr>
        <sz val="14"/>
        <rFont val="Times New Roman"/>
        <family val="1"/>
      </rPr>
      <t xml:space="preserve"> Tổng số lớp</t>
    </r>
  </si>
  <si>
    <t>II. TÌNH TRẠNG DINH DƯỠNG:</t>
  </si>
  <si>
    <t>2.1. Chiều cao theo tuổi</t>
  </si>
  <si>
    <t>chiếm</t>
  </si>
  <si>
    <t>%</t>
  </si>
  <si>
    <t>BIỂU ĐỒ BMI</t>
  </si>
  <si>
    <r>
      <rPr>
        <sz val="14"/>
        <rFont val="Calibri"/>
        <family val="2"/>
      </rPr>
      <t>‐</t>
    </r>
    <r>
      <rPr>
        <sz val="14"/>
        <rFont val="Times New Roman"/>
        <family val="1"/>
      </rPr>
      <t xml:space="preserve"> Suy dinh dưỡng thể thấp còi</t>
    </r>
  </si>
  <si>
    <t>Suy dinh dưỡng gầy còm nặng</t>
  </si>
  <si>
    <r>
      <rPr>
        <sz val="14"/>
        <rFont val="Calibri"/>
        <family val="2"/>
      </rPr>
      <t>‐</t>
    </r>
    <r>
      <rPr>
        <sz val="14"/>
        <rFont val="Times New Roman"/>
        <family val="1"/>
      </rPr>
      <t xml:space="preserve"> Bình thường</t>
    </r>
  </si>
  <si>
    <t>Suy dinh dưỡng gầy còm</t>
  </si>
  <si>
    <r>
      <rPr>
        <sz val="14"/>
        <rFont val="Calibri"/>
        <family val="2"/>
      </rPr>
      <t>‐</t>
    </r>
    <r>
      <rPr>
        <sz val="14"/>
        <rFont val="Times New Roman"/>
        <family val="1"/>
      </rPr>
      <t xml:space="preserve"> Cao hơn tuổi</t>
    </r>
  </si>
  <si>
    <t>2.3 Theo BMI</t>
  </si>
  <si>
    <r>
      <rPr>
        <sz val="14"/>
        <rFont val="Calibri"/>
        <family val="2"/>
      </rPr>
      <t>‐</t>
    </r>
    <r>
      <rPr>
        <sz val="14"/>
        <rFont val="Times New Roman"/>
        <family val="1"/>
      </rPr>
      <t xml:space="preserve"> Suy dinh dưỡng thể gầy còm nặng</t>
    </r>
  </si>
  <si>
    <r>
      <rPr>
        <sz val="14"/>
        <rFont val="Calibri"/>
        <family val="2"/>
      </rPr>
      <t>‐</t>
    </r>
    <r>
      <rPr>
        <sz val="14"/>
        <rFont val="Times New Roman"/>
        <family val="1"/>
      </rPr>
      <t xml:space="preserve"> Suy dinh dưỡng thể gầy còm</t>
    </r>
  </si>
  <si>
    <r>
      <rPr>
        <sz val="14"/>
        <rFont val="Calibri"/>
        <family val="2"/>
      </rPr>
      <t>‐</t>
    </r>
    <r>
      <rPr>
        <sz val="14"/>
        <rFont val="Times New Roman"/>
        <family val="1"/>
      </rPr>
      <t xml:space="preserve"> Thừa cân</t>
    </r>
  </si>
  <si>
    <r>
      <rPr>
        <sz val="14"/>
        <rFont val="Calibri"/>
        <family val="2"/>
      </rPr>
      <t>‐</t>
    </r>
    <r>
      <rPr>
        <sz val="14"/>
        <rFont val="Times New Roman"/>
        <family val="1"/>
      </rPr>
      <t xml:space="preserve"> Béo phì</t>
    </r>
  </si>
  <si>
    <t>III. CÁC NHÓM BỆNH MẮC PHẢI</t>
  </si>
  <si>
    <t>BIỂU ĐỒ CÁC NHÓM BỆNH</t>
  </si>
  <si>
    <r>
      <rPr>
        <sz val="14"/>
        <rFont val="Calibri"/>
        <family val="2"/>
      </rPr>
      <t>‐</t>
    </r>
    <r>
      <rPr>
        <sz val="14"/>
        <rFont val="Times New Roman"/>
        <family val="1"/>
      </rPr>
      <t xml:space="preserve"> Mắt</t>
    </r>
  </si>
  <si>
    <r>
      <rPr>
        <sz val="14"/>
        <rFont val="Calibri"/>
        <family val="2"/>
      </rPr>
      <t>‐</t>
    </r>
    <r>
      <rPr>
        <sz val="14"/>
        <rFont val="Times New Roman"/>
        <family val="1"/>
      </rPr>
      <t xml:space="preserve"> Tai - Mũi - Họng</t>
    </r>
  </si>
  <si>
    <r>
      <rPr>
        <sz val="14"/>
        <rFont val="Calibri"/>
        <family val="2"/>
      </rPr>
      <t>‐</t>
    </r>
    <r>
      <rPr>
        <sz val="14"/>
        <rFont val="Times New Roman"/>
        <family val="1"/>
      </rPr>
      <t xml:space="preserve"> Răng - Hàm - Mặt</t>
    </r>
  </si>
  <si>
    <t>Mắt</t>
  </si>
  <si>
    <r>
      <rPr>
        <sz val="14"/>
        <rFont val="Calibri"/>
        <family val="2"/>
      </rPr>
      <t>‐</t>
    </r>
    <r>
      <rPr>
        <sz val="14"/>
        <rFont val="Times New Roman"/>
        <family val="1"/>
      </rPr>
      <t xml:space="preserve"> Khác</t>
    </r>
  </si>
  <si>
    <t>Tai - Mũi - Họng</t>
  </si>
  <si>
    <t>Răng - Hàm - Mặt</t>
  </si>
  <si>
    <t>IV. PHÂN LOẠI SỨC KHỎE</t>
  </si>
  <si>
    <t>Khác</t>
  </si>
  <si>
    <r>
      <rPr>
        <sz val="14"/>
        <rFont val="Calibri"/>
        <family val="2"/>
      </rPr>
      <t>‐</t>
    </r>
    <r>
      <rPr>
        <sz val="14"/>
        <rFont val="Times New Roman"/>
        <family val="1"/>
      </rPr>
      <t xml:space="preserve"> Sức khỏe loại I</t>
    </r>
  </si>
  <si>
    <r>
      <rPr>
        <sz val="14"/>
        <rFont val="Calibri"/>
        <family val="2"/>
      </rPr>
      <t>‐</t>
    </r>
    <r>
      <rPr>
        <sz val="14"/>
        <rFont val="Times New Roman"/>
        <family val="1"/>
      </rPr>
      <t xml:space="preserve"> Sức khỏe loại II</t>
    </r>
  </si>
  <si>
    <r>
      <rPr>
        <sz val="14"/>
        <rFont val="Calibri"/>
        <family val="2"/>
      </rPr>
      <t>‐</t>
    </r>
    <r>
      <rPr>
        <sz val="14"/>
        <rFont val="Times New Roman"/>
        <family val="1"/>
      </rPr>
      <t xml:space="preserve"> Sức khỏe loại III</t>
    </r>
  </si>
  <si>
    <t>V. KIẾN NGHỊ</t>
  </si>
  <si>
    <t>BIỂU ĐỒ PHÂN LOẠI SỨC KHỎE</t>
  </si>
  <si>
    <r>
      <rPr>
        <sz val="14"/>
        <rFont val="Calibri"/>
        <family val="2"/>
      </rPr>
      <t>‐</t>
    </r>
    <r>
      <rPr>
        <sz val="14"/>
        <rFont val="Times New Roman"/>
        <family val="1"/>
      </rPr>
      <t xml:space="preserve"> Nhà trường, phụ huynh có chế độ ăn hợp lý cho các học sinh thừa cân, béo phì. Tuyên truyền tăng cường vận động, luyện tập thể dục thể thao, hạn chế sử dụng thực phẩm chứa nhiều chất ngọt, béo….</t>
    </r>
  </si>
  <si>
    <t>Loại I</t>
  </si>
  <si>
    <r>
      <rPr>
        <sz val="14"/>
        <rFont val="Calibri"/>
        <family val="2"/>
      </rPr>
      <t>‐</t>
    </r>
    <r>
      <rPr>
        <sz val="14"/>
        <rFont val="Times New Roman"/>
        <family val="1"/>
      </rPr>
      <t xml:space="preserve"> Tuyên truyền phụ huynh tăng cường dinh dưỡng cho học sinh bị suy dinh dưỡng.</t>
    </r>
  </si>
  <si>
    <t>Loại II</t>
  </si>
  <si>
    <t>Loại III</t>
  </si>
  <si>
    <r>
      <rPr>
        <sz val="14"/>
        <rFont val="Calibri"/>
        <family val="2"/>
      </rPr>
      <t>‐</t>
    </r>
    <r>
      <rPr>
        <sz val="14"/>
        <rFont val="Times New Roman"/>
        <family val="1"/>
      </rPr>
      <t xml:space="preserve"> Lưu ý và thông báo đến phụ huynh các học sinh mắc các bệnh chuyên khoa: mắt, tai mũi họng, răng hàm mặt… khám thêm chuyên khoa để có hướng điều trị. (Có danh sách trong sổ theo dõi tình trạng bệnh của học sinh).</t>
    </r>
  </si>
  <si>
    <t>‐ Đề nghị tăng cường vệ sinh răng miệng hàng ngày, giữ gìn vệ sinh thân thể thường xuyên.</t>
  </si>
  <si>
    <t>VI. BIỂU ĐỒ</t>
  </si>
  <si>
    <t>Gồm 4 biểu đồ:</t>
  </si>
  <si>
    <r>
      <rPr>
        <sz val="14"/>
        <rFont val="Calibri"/>
        <family val="2"/>
      </rPr>
      <t>‐</t>
    </r>
    <r>
      <rPr>
        <sz val="14"/>
        <rFont val="Times New Roman"/>
        <family val="1"/>
      </rPr>
      <t xml:space="preserve"> Biểu đồ chiều cao theo tuổi</t>
    </r>
  </si>
  <si>
    <t>NGƯỜI TỔNG HỢP</t>
  </si>
  <si>
    <r>
      <rPr>
        <sz val="14"/>
        <rFont val="Calibri"/>
        <family val="2"/>
      </rPr>
      <t>‐</t>
    </r>
    <r>
      <rPr>
        <sz val="14"/>
        <rFont val="Times New Roman"/>
        <family val="1"/>
      </rPr>
      <t xml:space="preserve"> Biểu đồ BMI</t>
    </r>
  </si>
  <si>
    <r>
      <rPr>
        <sz val="14"/>
        <rFont val="Calibri"/>
        <family val="2"/>
      </rPr>
      <t>‐</t>
    </r>
    <r>
      <rPr>
        <sz val="14"/>
        <rFont val="Times New Roman"/>
        <family val="1"/>
      </rPr>
      <t xml:space="preserve"> Biểu đồ các nhóm bệnh</t>
    </r>
  </si>
  <si>
    <r>
      <rPr>
        <sz val="14"/>
        <rFont val="Calibri"/>
        <family val="2"/>
      </rPr>
      <t>‐</t>
    </r>
    <r>
      <rPr>
        <sz val="14"/>
        <rFont val="Times New Roman"/>
        <family val="1"/>
      </rPr>
      <t xml:space="preserve"> Biểu đồ phân loại sức khỏe</t>
    </r>
  </si>
  <si>
    <t>2.1. Cân nặng theo tuổi</t>
  </si>
  <si>
    <t>Suy dinh dưỡng thể nhẹ cân</t>
  </si>
  <si>
    <t>Nội nhi</t>
  </si>
  <si>
    <t>PHÒNG KHÁM ĐA KHOA PHÚC THIỆN NHÂN</t>
  </si>
  <si>
    <t>YS. Lê Thị Diệu Hiền</t>
  </si>
  <si>
    <t>Nguyễn Hoàng</t>
  </si>
  <si>
    <t>Nhi</t>
  </si>
  <si>
    <t>Khôi</t>
  </si>
  <si>
    <t>Nhân</t>
  </si>
  <si>
    <t>Khang</t>
  </si>
  <si>
    <t>Anh</t>
  </si>
  <si>
    <t>Tây Nha Trang, ngày 18 tháng 9 năm 2026</t>
  </si>
  <si>
    <t>Thư</t>
  </si>
  <si>
    <t>Phúc</t>
  </si>
  <si>
    <t>Tiên</t>
  </si>
  <si>
    <t>Chi</t>
  </si>
  <si>
    <t>Kim</t>
  </si>
  <si>
    <t>Hoàng</t>
  </si>
  <si>
    <t>Ngân</t>
  </si>
  <si>
    <t>An</t>
  </si>
  <si>
    <t>Nguyễn Bảo</t>
  </si>
  <si>
    <t>Nguyễn Minh</t>
  </si>
  <si>
    <t>: TRƯỜNG MẦM NON TƯ THỤC MINH ANH</t>
  </si>
  <si>
    <t>(Khám sức khỏe học sinh năm học 2026-2027 ngày 15 tháng 9 năm 2026)</t>
  </si>
  <si>
    <t>: SỐ 15/6 TRẦN ĐƯỜNG - PHƯỜNG TÂY NHA TRANG - KHÁNH HÒA</t>
  </si>
  <si>
    <t>Di</t>
  </si>
  <si>
    <t>Nguyễn Ngọc Bảo</t>
  </si>
  <si>
    <t>Đan</t>
  </si>
  <si>
    <t>Nguyễn Khả</t>
  </si>
  <si>
    <t>Hân</t>
  </si>
  <si>
    <t>Lê Bảo</t>
  </si>
  <si>
    <t>Long</t>
  </si>
  <si>
    <t>Nguyễn Nhật</t>
  </si>
  <si>
    <t>Minh</t>
  </si>
  <si>
    <t>Nguyễn Lê Kim</t>
  </si>
  <si>
    <t>Nguyễn Trần Hạ</t>
  </si>
  <si>
    <t>Vi</t>
  </si>
  <si>
    <t>Vỹ</t>
  </si>
  <si>
    <t>Nguyễn Đăng</t>
  </si>
  <si>
    <t>Nguyễn Ngọc Ánh</t>
  </si>
  <si>
    <t>Xuân</t>
  </si>
  <si>
    <t>x</t>
  </si>
  <si>
    <t>LỚP</t>
  </si>
  <si>
    <t>Châu</t>
  </si>
  <si>
    <t>Vũ Diệp Nhã</t>
  </si>
  <si>
    <t>Kỳ</t>
  </si>
  <si>
    <t>Trần Chí</t>
  </si>
  <si>
    <t>Kiên</t>
  </si>
  <si>
    <t xml:space="preserve">Đỗ Hoàng Trà </t>
  </si>
  <si>
    <t>My</t>
  </si>
  <si>
    <t>Nguyễn Trúc</t>
  </si>
  <si>
    <t>Nghi</t>
  </si>
  <si>
    <t>Võ Duy</t>
  </si>
  <si>
    <t>Thịnh</t>
  </si>
  <si>
    <t>Vòng Ngọc Cát</t>
  </si>
  <si>
    <t>Tường</t>
  </si>
  <si>
    <t>Đỗ Khánh</t>
  </si>
  <si>
    <t>Trân</t>
  </si>
  <si>
    <t>Phan Nguyễn Phương</t>
  </si>
  <si>
    <t>Sam</t>
  </si>
  <si>
    <t>NHÀ TRẺ 12-18 THÁNG</t>
  </si>
  <si>
    <t>Trương Ng. Khánh</t>
  </si>
  <si>
    <t>25/12/2024</t>
  </si>
  <si>
    <t>Đặng Nguyễn Minh</t>
  </si>
  <si>
    <t>Mai Hưng</t>
  </si>
  <si>
    <t>Ngô Đăng</t>
  </si>
  <si>
    <t>Trần Ngọc Thiên</t>
  </si>
  <si>
    <t>Văn Trúc</t>
  </si>
  <si>
    <t>Lam</t>
  </si>
  <si>
    <t>Luân</t>
  </si>
  <si>
    <t>Nguyễn Đại</t>
  </si>
  <si>
    <t>Lê Hoàng Nhật</t>
  </si>
  <si>
    <t>Dương Thành</t>
  </si>
  <si>
    <t>Phát</t>
  </si>
  <si>
    <t>Thanh</t>
  </si>
  <si>
    <t>Võ Thành</t>
  </si>
  <si>
    <t>Trí</t>
  </si>
  <si>
    <t>Cao Ngọc Bảo</t>
  </si>
  <si>
    <t>Uyên</t>
  </si>
  <si>
    <t xml:space="preserve"> Nguyễn Quỳnh</t>
  </si>
  <si>
    <t>Sử Duy Huyền</t>
  </si>
  <si>
    <t>Lê Quốc Nhật</t>
  </si>
  <si>
    <t>Trần Gia</t>
  </si>
  <si>
    <t>Bách</t>
  </si>
  <si>
    <t>Võ Khanh</t>
  </si>
  <si>
    <t>Nguyễn Đỗ Quỳnh</t>
  </si>
  <si>
    <t>Nguyễn Quang</t>
  </si>
  <si>
    <t>Phạm Tuấn</t>
  </si>
  <si>
    <t>Kiệt</t>
  </si>
  <si>
    <t>Lê Võ Quang</t>
  </si>
  <si>
    <t>Từ Khải</t>
  </si>
  <si>
    <t>Bùi Phi</t>
  </si>
  <si>
    <t>Sơn</t>
  </si>
  <si>
    <t>Lâm Gia</t>
  </si>
  <si>
    <t>Tuệ</t>
  </si>
  <si>
    <t>Bùi Minh</t>
  </si>
  <si>
    <t>Triết</t>
  </si>
  <si>
    <t>Hà A</t>
  </si>
  <si>
    <t>Zu Ra</t>
  </si>
  <si>
    <t>13.5</t>
  </si>
  <si>
    <t>25-36 THÁNG B</t>
  </si>
  <si>
    <t>Nguyễn Mộc Thiên</t>
  </si>
  <si>
    <t>Nguyễn Võ Gia</t>
  </si>
  <si>
    <t>Hoàng Tùng</t>
  </si>
  <si>
    <t>Lâm</t>
  </si>
  <si>
    <t>Nguyễn Ái</t>
  </si>
  <si>
    <t>Linh</t>
  </si>
  <si>
    <t xml:space="preserve">Nguyễn Bảo </t>
  </si>
  <si>
    <t>Ngô Phúc An</t>
  </si>
  <si>
    <t>Nhiên</t>
  </si>
  <si>
    <t>Bùi Tấn</t>
  </si>
  <si>
    <t>Nguyễn Quốc Thiên</t>
  </si>
  <si>
    <t>Huỳnh Minh</t>
  </si>
  <si>
    <t xml:space="preserve"> Nguyễn Hiếu</t>
  </si>
  <si>
    <t>Thành</t>
  </si>
  <si>
    <t>Nguyễn Ngọc Uyên</t>
  </si>
  <si>
    <t xml:space="preserve">Nguyễn Khánh </t>
  </si>
  <si>
    <t>Vy</t>
  </si>
  <si>
    <t>09/04/2024</t>
  </si>
  <si>
    <t xml:space="preserve">Nguyễn Tâm </t>
  </si>
  <si>
    <t>Ý</t>
  </si>
  <si>
    <t>04/04/2024</t>
  </si>
  <si>
    <t>BT</t>
  </si>
  <si>
    <t>25-36 THÁNG A</t>
  </si>
  <si>
    <t xml:space="preserve">Nguyễn Quốc </t>
  </si>
  <si>
    <t>Nguyễn Diệp</t>
  </si>
  <si>
    <t>Trương Gia</t>
  </si>
  <si>
    <t>Hưng</t>
  </si>
  <si>
    <t>Macdonald Gia</t>
  </si>
  <si>
    <t>Phạm Đăng</t>
  </si>
  <si>
    <t>Khoa</t>
  </si>
  <si>
    <t>Ngô Quân</t>
  </si>
  <si>
    <t xml:space="preserve">Khôi </t>
  </si>
  <si>
    <t>Nguyễn Ngọc Tuệ</t>
  </si>
  <si>
    <t>Huỳnh Ngọc Phương</t>
  </si>
  <si>
    <t>Phan Hoàng Anh</t>
  </si>
  <si>
    <t>Nguyễn Huỳnh An</t>
  </si>
  <si>
    <t>Phạm Duy</t>
  </si>
  <si>
    <t>Hồ Vũ Phương</t>
  </si>
  <si>
    <t xml:space="preserve">LỚP </t>
  </si>
  <si>
    <t>25-36 THÁNG</t>
  </si>
  <si>
    <t>Đoàn Hải</t>
  </si>
  <si>
    <t>Trần Ngọc Hoàng</t>
  </si>
  <si>
    <t>Phạm Quốc</t>
  </si>
  <si>
    <t>Cường</t>
  </si>
  <si>
    <t>Nguyễn Mai</t>
  </si>
  <si>
    <t>Ng. Ngọc Minh</t>
  </si>
  <si>
    <t>Hằng</t>
  </si>
  <si>
    <t>Lê Anh</t>
  </si>
  <si>
    <t>Nguyễn Hải</t>
  </si>
  <si>
    <t>Trần Phan Anh</t>
  </si>
  <si>
    <t>Nhã</t>
  </si>
  <si>
    <t>Trần Ngọc Uyên</t>
  </si>
  <si>
    <t>Trần Minh</t>
  </si>
  <si>
    <t>Quân</t>
  </si>
  <si>
    <t>Nguyễn Lê Đình</t>
  </si>
  <si>
    <t>Bùi Bảo</t>
  </si>
  <si>
    <t>MG 3-4 TUỔI C</t>
  </si>
  <si>
    <t>Lê Nhật Duy</t>
  </si>
  <si>
    <t>Cao Ng. Phương</t>
  </si>
  <si>
    <t>Bình</t>
  </si>
  <si>
    <t>Trần Ngọc Khánh</t>
  </si>
  <si>
    <t>Đức</t>
  </si>
  <si>
    <t>Phan</t>
  </si>
  <si>
    <t>Hiển</t>
  </si>
  <si>
    <t>Lê Gia</t>
  </si>
  <si>
    <t>Hữu</t>
  </si>
  <si>
    <t xml:space="preserve">Đặng Hoàng </t>
  </si>
  <si>
    <t>Lê Phước Anh</t>
  </si>
  <si>
    <t xml:space="preserve">Minh </t>
  </si>
  <si>
    <t>Nguyễn Tường Thanh</t>
  </si>
  <si>
    <t>Mi</t>
  </si>
  <si>
    <t>Trần Phạm Hoàng</t>
  </si>
  <si>
    <t xml:space="preserve">Đinh Lê Khánh </t>
  </si>
  <si>
    <t>Ngọc</t>
  </si>
  <si>
    <t>Nguyễn Minh Bảo</t>
  </si>
  <si>
    <t>Đinh Viết</t>
  </si>
  <si>
    <t>Tài</t>
  </si>
  <si>
    <t>Thiện</t>
  </si>
  <si>
    <t>Nguyễn Ý Cát</t>
  </si>
  <si>
    <t>Phan Ngọc Phượng</t>
  </si>
  <si>
    <t>Đặng Cát Tường</t>
  </si>
  <si>
    <t>Vân</t>
  </si>
  <si>
    <t>11.4</t>
  </si>
  <si>
    <t>MG 3-4 TUỔI A</t>
  </si>
  <si>
    <t>Nguyễn Duy</t>
  </si>
  <si>
    <t>Ng. Lương Quỳnh</t>
  </si>
  <si>
    <t>Nguyễn Vy</t>
  </si>
  <si>
    <t>Lê Thuần</t>
  </si>
  <si>
    <t>Chơn</t>
  </si>
  <si>
    <t>Nguyễn Hoàng Minh</t>
  </si>
  <si>
    <t>Đạt</t>
  </si>
  <si>
    <t>Ng. Ngọc Gia</t>
  </si>
  <si>
    <t>Nguyễn Đoàn Khả</t>
  </si>
  <si>
    <t>Huỳnh Ngọc Nhã</t>
  </si>
  <si>
    <t>Phan Triều</t>
  </si>
  <si>
    <t>Nguyễn Đào Duy</t>
  </si>
  <si>
    <t>Nguyễn Công</t>
  </si>
  <si>
    <t>Nguyễn Ngọc Kim</t>
  </si>
  <si>
    <t>Phạm Ngọc Cát</t>
  </si>
  <si>
    <t>Ng. Trần Minh</t>
  </si>
  <si>
    <t>Trung</t>
  </si>
  <si>
    <t>Hoàng Khôi</t>
  </si>
  <si>
    <t>Vĩ</t>
  </si>
  <si>
    <t>MG 3-4 TUỔI B</t>
  </si>
  <si>
    <t>Nguyễn Thiên</t>
  </si>
  <si>
    <t>Hà Châu</t>
  </si>
  <si>
    <t>Bùi Huy</t>
  </si>
  <si>
    <t>Bảo</t>
  </si>
  <si>
    <t>Trần Lưu Gia</t>
  </si>
  <si>
    <t>Cát</t>
  </si>
  <si>
    <t>Lê Hoàng</t>
  </si>
  <si>
    <t>Đăng</t>
  </si>
  <si>
    <t>Nguyễn Tiến</t>
  </si>
  <si>
    <t>Kwak Minh</t>
  </si>
  <si>
    <t>Hà</t>
  </si>
  <si>
    <t>Huỳnh</t>
  </si>
  <si>
    <t>Nguyễn Gia</t>
  </si>
  <si>
    <t>Khánh</t>
  </si>
  <si>
    <t>Ng. Vũ Thế</t>
  </si>
  <si>
    <t>Phạm Hà</t>
  </si>
  <si>
    <t>Kiều Nguyễn Lam</t>
  </si>
  <si>
    <t>Lâm Tuệ</t>
  </si>
  <si>
    <t>Mẫn</t>
  </si>
  <si>
    <t>Nguyễn Hoàng Thu</t>
  </si>
  <si>
    <t>Võ Ng. Khánh</t>
  </si>
  <si>
    <t>Phong</t>
  </si>
  <si>
    <t>Đặng Thiên</t>
  </si>
  <si>
    <t>Phú</t>
  </si>
  <si>
    <t xml:space="preserve"> Đặng Nguyễn Minh</t>
  </si>
  <si>
    <t>Nguyễn Quốc</t>
  </si>
  <si>
    <t>Trọng</t>
  </si>
  <si>
    <t>Trần Hoàng</t>
  </si>
  <si>
    <t xml:space="preserve">Vũ </t>
  </si>
  <si>
    <t>13.8</t>
  </si>
  <si>
    <t xml:space="preserve">MG 4-5 TUỔI </t>
  </si>
  <si>
    <t>Võ Phan Việt</t>
  </si>
  <si>
    <t>Nguyễn Kim</t>
  </si>
  <si>
    <t>Hà Thiên</t>
  </si>
  <si>
    <t xml:space="preserve">Nguyễn Trí </t>
  </si>
  <si>
    <t xml:space="preserve">Hoàng Gia </t>
  </si>
  <si>
    <t>Điền</t>
  </si>
  <si>
    <t>Nguyễn Lê Khả</t>
  </si>
  <si>
    <t>Hồ Khánh</t>
  </si>
  <si>
    <t>Đỗ Trần Quốc</t>
  </si>
  <si>
    <t>Huy</t>
  </si>
  <si>
    <t>Hoàng Nguyễn</t>
  </si>
  <si>
    <t>Jois</t>
  </si>
  <si>
    <t>Phan Phúc</t>
  </si>
  <si>
    <t>Nguyễn Đặng Huy</t>
  </si>
  <si>
    <t xml:space="preserve">Phạm Đăng </t>
  </si>
  <si>
    <t>Vũ Nguyên</t>
  </si>
  <si>
    <t>Lê Vy</t>
  </si>
  <si>
    <t>Nguyễn Huỳnh Duy</t>
  </si>
  <si>
    <t>Nguyễn Tùng</t>
  </si>
  <si>
    <t>Hà Gia</t>
  </si>
  <si>
    <t>Trương Minh</t>
  </si>
  <si>
    <t>Lê Nguyễn Minh</t>
  </si>
  <si>
    <t xml:space="preserve">Triết </t>
  </si>
  <si>
    <t>Đặng Tuấn</t>
  </si>
  <si>
    <t>Tú</t>
  </si>
  <si>
    <t>Nguyễn Anh</t>
  </si>
  <si>
    <t>5-6 TUỔI A</t>
  </si>
  <si>
    <t xml:space="preserve">Nguyễn Trọng </t>
  </si>
  <si>
    <t xml:space="preserve">Nguyễn Tú </t>
  </si>
  <si>
    <t>Dương Ng. Thiên</t>
  </si>
  <si>
    <t>Ân</t>
  </si>
  <si>
    <t xml:space="preserve">Huỳnh Thiên </t>
  </si>
  <si>
    <t>Nguyễn Thành</t>
  </si>
  <si>
    <t>Đào Phước Minh</t>
  </si>
  <si>
    <t>Ngô Đức Minh</t>
  </si>
  <si>
    <t>Đinh Nguyễn Gia</t>
  </si>
  <si>
    <t>Huyền</t>
  </si>
  <si>
    <t>Vũ Nguyễn</t>
  </si>
  <si>
    <t xml:space="preserve">Huỳnh Nguyễn Trung </t>
  </si>
  <si>
    <t>Mai Phúc</t>
  </si>
  <si>
    <t>Lê Thanh</t>
  </si>
  <si>
    <t>Phạm Ngọc Gia</t>
  </si>
  <si>
    <t xml:space="preserve">Lê Khánh </t>
  </si>
  <si>
    <t>Lê Đặng Bảo</t>
  </si>
  <si>
    <t>Nguyễn Hoàng Bảo</t>
  </si>
  <si>
    <t>Phạm Hoàng An</t>
  </si>
  <si>
    <t>Đỗ Minh</t>
  </si>
  <si>
    <t>Nhật</t>
  </si>
  <si>
    <t>Trương Thảo</t>
  </si>
  <si>
    <t>Trương Hoàng An</t>
  </si>
  <si>
    <t>Ng.  Ngọc Khánh</t>
  </si>
  <si>
    <t>Nguyễn Ngọc Thảo</t>
  </si>
  <si>
    <t>5-6 TUỔI B</t>
  </si>
  <si>
    <t>Sâu men</t>
  </si>
  <si>
    <t>SR</t>
  </si>
  <si>
    <t>Đa SR</t>
  </si>
  <si>
    <t>Khe sứt môi hở hàm ếch đã phẩu thuật</t>
  </si>
  <si>
    <t>Dương Ngọc An</t>
  </si>
  <si>
    <t>Lã Trương Minh</t>
  </si>
  <si>
    <t>Khải</t>
  </si>
  <si>
    <t>Viêm kết mạc mắt T</t>
  </si>
  <si>
    <t>Nguyễn Ngọc Quỳnh</t>
  </si>
  <si>
    <t>12-18 tháng</t>
  </si>
  <si>
    <t>19-24 tháng a</t>
  </si>
  <si>
    <t>19-24 tháng b</t>
  </si>
  <si>
    <t>NHÀ TRẺ 19-24 THÁNG A</t>
  </si>
  <si>
    <t>NHÀ TRẺ 19-24 THÁNG B</t>
  </si>
  <si>
    <t>25-36 tháng</t>
  </si>
  <si>
    <t>25-36 tháng a</t>
  </si>
  <si>
    <t>25-36 tháng b</t>
  </si>
  <si>
    <t>3-4 tuổi a</t>
  </si>
  <si>
    <t>3-4 tuổi b</t>
  </si>
  <si>
    <t>3-4 tuổi c</t>
  </si>
  <si>
    <t>4-5 tuổi</t>
  </si>
  <si>
    <t>5-6 tuổi a</t>
  </si>
  <si>
    <t>5-6 tuổi b</t>
  </si>
  <si>
    <t>BSCKI. Trần Thị Lệ Trinh</t>
  </si>
  <si>
    <t>: SỐ 15/6 TRẦN ĐƯỜNG - PHƯỜNG TÂY NHA TRANG - 
                                      KHÁNH HÒA</t>
  </si>
  <si>
    <t>TỔNG HỢP KHÁM SỨC KHỎE HỌC SINH NĂM HỌC 2026-2027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</si>
</sst>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39">
    <font>
      <sz val="11"/>
      <color theme="1"/>
      <name val="Calibri"/>
      <charset val="134"/>
      <scheme val="minor"/>
    </font>
    <font>
      <sz val="14"/>
      <color theme="1"/>
      <name val="Times New Roman"/>
      <family val="1"/>
    </font>
    <font>
      <b/>
      <sz val="10"/>
      <color theme="1"/>
      <name val="Times New Roman"/>
      <family val="1"/>
    </font>
    <font>
      <sz val="12"/>
      <color theme="1"/>
      <name val="Times New Roman"/>
      <family val="1"/>
    </font>
    <font>
      <sz val="10"/>
      <color theme="1"/>
      <name val="Times New Roman"/>
      <family val="1"/>
    </font>
    <font>
      <b/>
      <sz val="16"/>
      <color indexed="8"/>
      <name val="Times New Roman"/>
      <family val="1"/>
    </font>
    <font>
      <i/>
      <sz val="14"/>
      <color indexed="8"/>
      <name val="Times New Roman"/>
      <family val="1"/>
    </font>
    <font>
      <i/>
      <sz val="14"/>
      <color theme="1"/>
      <name val="Times New Roman"/>
      <family val="1"/>
    </font>
    <font>
      <b/>
      <sz val="14"/>
      <color theme="1"/>
      <name val="Times New Roman"/>
      <family val="1"/>
    </font>
    <font>
      <b/>
      <sz val="12"/>
      <color theme="1"/>
      <name val="Times New Roman"/>
      <family val="1"/>
    </font>
    <font>
      <sz val="12"/>
      <name val="Times New Roman"/>
      <family val="1"/>
    </font>
    <font>
      <b/>
      <sz val="12"/>
      <name val="Times New Roman"/>
      <family val="1"/>
    </font>
    <font>
      <b/>
      <sz val="8"/>
      <color theme="1"/>
      <name val="Times New Roman"/>
      <family val="1"/>
    </font>
    <font>
      <b/>
      <sz val="14"/>
      <name val="Times New Roman"/>
      <family val="1"/>
    </font>
    <font>
      <b/>
      <u/>
      <sz val="13"/>
      <name val="Times New Roman"/>
      <family val="1"/>
    </font>
    <font>
      <b/>
      <u/>
      <sz val="12"/>
      <name val="Times New Roman"/>
      <family val="1"/>
    </font>
    <font>
      <sz val="10"/>
      <name val="Times New Roman"/>
      <family val="1"/>
    </font>
    <font>
      <b/>
      <sz val="11"/>
      <name val="Times New Roman"/>
      <family val="1"/>
    </font>
    <font>
      <b/>
      <sz val="10"/>
      <name val="Times New Roman"/>
      <family val="1"/>
    </font>
    <font>
      <i/>
      <sz val="12"/>
      <name val="Times New Roman"/>
      <family val="1"/>
    </font>
    <font>
      <u/>
      <sz val="12"/>
      <name val="Times New Roman"/>
      <family val="1"/>
    </font>
    <font>
      <b/>
      <sz val="9"/>
      <name val="Times New Roman"/>
      <family val="1"/>
    </font>
    <font>
      <sz val="14"/>
      <name val="Times New Roman"/>
      <family val="1"/>
    </font>
    <font>
      <b/>
      <sz val="13"/>
      <color theme="1"/>
      <name val="Times New Roman"/>
      <family val="1"/>
    </font>
    <font>
      <i/>
      <sz val="12"/>
      <color theme="1"/>
      <name val="Times New Roman"/>
      <family val="1"/>
    </font>
    <font>
      <b/>
      <sz val="16"/>
      <name val="Times New Roman"/>
      <family val="1"/>
    </font>
    <font>
      <sz val="10"/>
      <name val="Arial"/>
      <family val="2"/>
    </font>
    <font>
      <sz val="11"/>
      <color theme="1"/>
      <name val="Times New Roman"/>
      <family val="1"/>
    </font>
    <font>
      <sz val="13"/>
      <name val="Times New Roman"/>
      <family val="1"/>
    </font>
    <font>
      <b/>
      <sz val="20"/>
      <color theme="6" tint="-0.499984740745262"/>
      <name val="Segoe UI Black"/>
      <family val="2"/>
    </font>
    <font>
      <b/>
      <sz val="13"/>
      <name val="Times New Roman"/>
      <family val="1"/>
    </font>
    <font>
      <sz val="14"/>
      <name val="Calibri"/>
      <family val="2"/>
    </font>
    <font>
      <b/>
      <i/>
      <sz val="14"/>
      <name val="Times New Roman"/>
      <family val="1"/>
    </font>
    <font>
      <b/>
      <sz val="11"/>
      <color theme="1"/>
      <name val="Times New Roman"/>
      <family val="1"/>
    </font>
    <font>
      <sz val="8"/>
      <name val="Calibri"/>
      <family val="2"/>
      <scheme val="minor"/>
    </font>
    <font>
      <b/>
      <sz val="9"/>
      <color theme="1"/>
      <name val="Times New Roman"/>
      <family val="1"/>
    </font>
    <font>
      <sz val="12"/>
      <color theme="1"/>
      <name val="Times New Roman"/>
      <family val="1"/>
      <charset val="163"/>
    </font>
    <font>
      <sz val="12"/>
      <color theme="1"/>
      <name val="Time New Romen"/>
      <charset val="163"/>
    </font>
    <font>
      <sz val="26"/>
      <color rgb="FF000000"/>
      <name val="Roboto Black"/>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indexed="64"/>
      </left>
      <right style="thin">
        <color indexed="64"/>
      </right>
      <top/>
      <bottom style="thin">
        <color indexed="64"/>
      </bottom>
      <diagonal/>
    </border>
  </borders>
  <cellStyleXfs count="1">
    <xf numFmtId="0" fontId="0" fillId="0" borderId="0"/>
  </cellStyleXfs>
  <cellXfs count="16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0" xfId="0" applyFont="1" applyAlignment="1">
      <alignment horizontal="center"/>
    </xf>
    <xf numFmtId="0" fontId="7" fillId="0" borderId="0" xfId="0" applyFont="1" applyAlignment="1">
      <alignment horizontal="center"/>
    </xf>
    <xf numFmtId="0" fontId="8" fillId="0" borderId="0" xfId="0" applyFont="1" applyAlignment="1">
      <alignment vertical="center"/>
    </xf>
    <xf numFmtId="0" fontId="8" fillId="0" borderId="0" xfId="0" applyFont="1"/>
    <xf numFmtId="0" fontId="9" fillId="0" borderId="0" xfId="0" applyFont="1" applyAlignment="1">
      <alignment horizontal="left"/>
    </xf>
    <xf numFmtId="0" fontId="9" fillId="0" borderId="0" xfId="0" applyFont="1" applyAlignment="1">
      <alignment horizontal="center"/>
    </xf>
    <xf numFmtId="0" fontId="9" fillId="0" borderId="1" xfId="0" applyFont="1" applyBorder="1" applyAlignment="1">
      <alignment horizontal="center" vertical="center"/>
    </xf>
    <xf numFmtId="0" fontId="3" fillId="0" borderId="1" xfId="0" applyFont="1" applyBorder="1" applyAlignment="1">
      <alignment horizontal="center" vertical="center"/>
    </xf>
    <xf numFmtId="0" fontId="11" fillId="0" borderId="0" xfId="0" applyFont="1"/>
    <xf numFmtId="0" fontId="10" fillId="0" borderId="0" xfId="0" applyFont="1" applyAlignment="1">
      <alignment horizontal="center"/>
    </xf>
    <xf numFmtId="0" fontId="10" fillId="0" borderId="0" xfId="0" applyFont="1"/>
    <xf numFmtId="0" fontId="10" fillId="0" borderId="0" xfId="0" applyFont="1" applyAlignment="1">
      <alignment horizontal="left"/>
    </xf>
    <xf numFmtId="0" fontId="13" fillId="0" borderId="0" xfId="0" applyFont="1"/>
    <xf numFmtId="0" fontId="14" fillId="0" borderId="0" xfId="0" applyFont="1"/>
    <xf numFmtId="0" fontId="15" fillId="0" borderId="0" xfId="0" applyFont="1"/>
    <xf numFmtId="0" fontId="16" fillId="0" borderId="0" xfId="0" applyFont="1" applyAlignment="1">
      <alignment horizontal="center"/>
    </xf>
    <xf numFmtId="0" fontId="16" fillId="0" borderId="0" xfId="0" applyFont="1"/>
    <xf numFmtId="0" fontId="16" fillId="0" borderId="0" xfId="0" applyFont="1" applyAlignment="1">
      <alignment horizontal="left"/>
    </xf>
    <xf numFmtId="3" fontId="17" fillId="0" borderId="1" xfId="0" applyNumberFormat="1" applyFont="1" applyBorder="1" applyAlignment="1">
      <alignment horizontal="center" vertical="center"/>
    </xf>
    <xf numFmtId="0" fontId="17" fillId="0" borderId="1" xfId="0" applyFont="1" applyBorder="1" applyAlignment="1">
      <alignment horizontal="center" vertical="center"/>
    </xf>
    <xf numFmtId="165" fontId="17" fillId="0" borderId="1" xfId="0" applyNumberFormat="1" applyFont="1" applyBorder="1" applyAlignment="1">
      <alignment horizontal="center" vertical="center"/>
    </xf>
    <xf numFmtId="0" fontId="20" fillId="0" borderId="0" xfId="0" applyFont="1"/>
    <xf numFmtId="0" fontId="19" fillId="0" borderId="0" xfId="0" applyFont="1"/>
    <xf numFmtId="0" fontId="21" fillId="0" borderId="0" xfId="0" applyFont="1" applyAlignment="1">
      <alignment vertical="center" wrapText="1"/>
    </xf>
    <xf numFmtId="0" fontId="13" fillId="0" borderId="1" xfId="0" applyFont="1" applyBorder="1" applyAlignment="1">
      <alignment horizontal="center" vertical="center"/>
    </xf>
    <xf numFmtId="0" fontId="21" fillId="0" borderId="0" xfId="0" applyFont="1" applyAlignment="1">
      <alignment vertical="center"/>
    </xf>
    <xf numFmtId="0" fontId="13" fillId="0" borderId="0" xfId="0" applyFont="1" applyAlignment="1">
      <alignment vertical="center"/>
    </xf>
    <xf numFmtId="3" fontId="22" fillId="0" borderId="0" xfId="0" applyNumberFormat="1" applyFont="1" applyAlignment="1">
      <alignment horizontal="center"/>
    </xf>
    <xf numFmtId="3" fontId="11" fillId="0" borderId="0" xfId="0" applyNumberFormat="1" applyFont="1" applyAlignment="1">
      <alignment horizontal="center"/>
    </xf>
    <xf numFmtId="0" fontId="13" fillId="0" borderId="0" xfId="0" applyFont="1" applyAlignment="1">
      <alignment horizontal="center" vertical="center"/>
    </xf>
    <xf numFmtId="0" fontId="11" fillId="0" borderId="0" xfId="0" applyFont="1" applyAlignment="1">
      <alignment horizontal="center"/>
    </xf>
    <xf numFmtId="0" fontId="10" fillId="0" borderId="1" xfId="0" applyFont="1" applyBorder="1" applyAlignment="1">
      <alignment horizontal="center" vertical="center"/>
    </xf>
    <xf numFmtId="0" fontId="24" fillId="0" borderId="0" xfId="0" applyFont="1" applyAlignment="1">
      <alignment horizontal="center"/>
    </xf>
    <xf numFmtId="0" fontId="9" fillId="0" borderId="0" xfId="0" applyFont="1"/>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 fillId="2" borderId="1" xfId="0" applyFont="1" applyFill="1" applyBorder="1"/>
    <xf numFmtId="0" fontId="22" fillId="0" borderId="0" xfId="0" applyFont="1"/>
    <xf numFmtId="0" fontId="10" fillId="0" borderId="1" xfId="0" applyFont="1" applyBorder="1"/>
    <xf numFmtId="0" fontId="26" fillId="0" borderId="0" xfId="0" applyFont="1"/>
    <xf numFmtId="2" fontId="22" fillId="0" borderId="0" xfId="0" applyNumberFormat="1" applyFont="1"/>
    <xf numFmtId="0" fontId="22" fillId="0" borderId="1" xfId="0" applyFont="1" applyBorder="1"/>
    <xf numFmtId="0" fontId="22" fillId="0" borderId="1" xfId="0" applyFont="1" applyBorder="1" applyAlignment="1">
      <alignment horizontal="center" vertical="center"/>
    </xf>
    <xf numFmtId="0" fontId="9" fillId="0" borderId="1" xfId="0" applyFont="1" applyBorder="1" applyAlignment="1">
      <alignment vertical="center"/>
    </xf>
    <xf numFmtId="0" fontId="9"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28" fillId="0" borderId="0" xfId="0" applyFont="1" applyAlignment="1">
      <alignment vertical="center"/>
    </xf>
    <xf numFmtId="0" fontId="0" fillId="0" borderId="0" xfId="0" applyAlignment="1">
      <alignment vertical="center"/>
    </xf>
    <xf numFmtId="0" fontId="0" fillId="2" borderId="0" xfId="0" applyFill="1" applyAlignment="1">
      <alignment vertical="center"/>
    </xf>
    <xf numFmtId="164" fontId="0" fillId="0" borderId="0" xfId="0" applyNumberFormat="1" applyAlignment="1">
      <alignment vertical="center"/>
    </xf>
    <xf numFmtId="0" fontId="22" fillId="0" borderId="0" xfId="0" applyFont="1" applyAlignment="1">
      <alignment vertical="center"/>
    </xf>
    <xf numFmtId="0" fontId="32" fillId="0" borderId="0" xfId="0" applyFont="1" applyAlignment="1">
      <alignment vertical="center"/>
    </xf>
    <xf numFmtId="0" fontId="22" fillId="0" borderId="0" xfId="0" applyFont="1" applyAlignment="1">
      <alignment horizontal="right" vertical="center"/>
    </xf>
    <xf numFmtId="0" fontId="29" fillId="0" borderId="0" xfId="0" applyFont="1" applyAlignment="1">
      <alignment vertical="center"/>
    </xf>
    <xf numFmtId="3" fontId="22" fillId="0" borderId="0" xfId="0" applyNumberFormat="1" applyFont="1" applyAlignment="1">
      <alignment vertical="center"/>
    </xf>
    <xf numFmtId="3" fontId="22" fillId="0" borderId="0" xfId="0" applyNumberFormat="1" applyFont="1" applyAlignment="1">
      <alignment horizontal="center" vertical="center"/>
    </xf>
    <xf numFmtId="0" fontId="22" fillId="0" borderId="0" xfId="0" applyFont="1" applyAlignment="1">
      <alignment horizontal="center" vertical="center"/>
    </xf>
    <xf numFmtId="0" fontId="22" fillId="0" borderId="0" xfId="0" applyFont="1" applyAlignment="1">
      <alignment vertical="center" wrapText="1"/>
    </xf>
    <xf numFmtId="0" fontId="9" fillId="0" borderId="0" xfId="0" applyFont="1" applyAlignment="1">
      <alignment vertical="center"/>
    </xf>
    <xf numFmtId="0" fontId="18" fillId="0" borderId="1" xfId="0" applyFont="1" applyBorder="1" applyAlignment="1">
      <alignment horizontal="center" vertical="center" wrapText="1"/>
    </xf>
    <xf numFmtId="0" fontId="27" fillId="0" borderId="0" xfId="0" applyFont="1"/>
    <xf numFmtId="0" fontId="2" fillId="0" borderId="1" xfId="0" applyFont="1" applyBorder="1" applyAlignment="1">
      <alignment horizontal="center" vertical="center" wrapText="1"/>
    </xf>
    <xf numFmtId="0" fontId="3" fillId="0" borderId="0" xfId="0" applyFont="1" applyAlignment="1">
      <alignment horizontal="center"/>
    </xf>
    <xf numFmtId="0" fontId="3" fillId="0" borderId="0" xfId="0" applyFont="1" applyAlignment="1">
      <alignment horizontal="center" vertical="center" wrapText="1"/>
    </xf>
    <xf numFmtId="0" fontId="3" fillId="0" borderId="0" xfId="0" applyFont="1" applyAlignment="1">
      <alignment vertical="center"/>
    </xf>
    <xf numFmtId="0" fontId="27" fillId="0" borderId="0" xfId="0" applyFont="1" applyAlignment="1">
      <alignment horizontal="center" vertical="center"/>
    </xf>
    <xf numFmtId="0" fontId="3" fillId="0" borderId="0" xfId="0" applyFont="1" applyAlignment="1">
      <alignment horizontal="center" vertical="center"/>
    </xf>
    <xf numFmtId="0" fontId="10" fillId="0" borderId="0" xfId="0" applyFont="1" applyAlignment="1">
      <alignment horizontal="center" vertical="center"/>
    </xf>
    <xf numFmtId="0" fontId="23" fillId="0" borderId="0" xfId="0" applyFont="1" applyAlignment="1">
      <alignment horizontal="center" vertical="center" wrapText="1"/>
    </xf>
    <xf numFmtId="0" fontId="27" fillId="3" borderId="0" xfId="0" applyFont="1" applyFill="1"/>
    <xf numFmtId="14" fontId="27" fillId="3" borderId="0" xfId="0" applyNumberFormat="1" applyFont="1" applyFill="1" applyAlignment="1">
      <alignment horizontal="center"/>
    </xf>
    <xf numFmtId="0" fontId="9" fillId="0" borderId="0" xfId="0" applyFont="1" applyAlignment="1">
      <alignment horizontal="center" vertical="center"/>
    </xf>
    <xf numFmtId="0" fontId="27" fillId="3" borderId="1" xfId="0" applyFont="1" applyFill="1" applyBorder="1" applyAlignment="1">
      <alignment horizontal="center" vertical="center" wrapText="1"/>
    </xf>
    <xf numFmtId="0" fontId="27" fillId="3" borderId="1" xfId="0" applyFont="1" applyFill="1" applyBorder="1" applyAlignment="1">
      <alignment vertical="center"/>
    </xf>
    <xf numFmtId="0" fontId="33" fillId="3" borderId="1" xfId="0" applyFont="1" applyFill="1" applyBorder="1" applyAlignment="1">
      <alignment horizontal="center" vertical="center" wrapText="1"/>
    </xf>
    <xf numFmtId="0" fontId="8" fillId="3" borderId="0" xfId="0" applyFont="1" applyFill="1" applyAlignment="1">
      <alignment vertical="center"/>
    </xf>
    <xf numFmtId="0" fontId="35" fillId="3" borderId="0" xfId="0" applyFont="1" applyFill="1" applyAlignment="1">
      <alignment vertical="center"/>
    </xf>
    <xf numFmtId="0" fontId="8" fillId="0" borderId="0" xfId="0" applyFont="1" applyAlignment="1">
      <alignment horizontal="left"/>
    </xf>
    <xf numFmtId="0" fontId="1" fillId="0" borderId="0" xfId="0" applyFont="1" applyAlignment="1">
      <alignment horizontal="center"/>
    </xf>
    <xf numFmtId="0" fontId="12" fillId="0" borderId="1" xfId="0" applyFont="1" applyBorder="1" applyAlignment="1">
      <alignment horizontal="center" vertical="center" wrapText="1"/>
    </xf>
    <xf numFmtId="0" fontId="2" fillId="0" borderId="1" xfId="0" applyFont="1" applyBorder="1" applyAlignment="1">
      <alignment horizontal="center" vertical="center"/>
    </xf>
    <xf numFmtId="166" fontId="22" fillId="0" borderId="0" xfId="0" applyNumberFormat="1" applyFont="1" applyAlignment="1">
      <alignment vertical="center"/>
    </xf>
    <xf numFmtId="166" fontId="13" fillId="0" borderId="0" xfId="0" applyNumberFormat="1" applyFont="1" applyAlignment="1">
      <alignment vertical="center"/>
    </xf>
    <xf numFmtId="166" fontId="22" fillId="0" borderId="0" xfId="0" applyNumberFormat="1" applyFont="1" applyAlignment="1">
      <alignment horizontal="right" vertical="center"/>
    </xf>
    <xf numFmtId="166" fontId="22" fillId="0" borderId="0" xfId="0" applyNumberFormat="1" applyFont="1" applyAlignment="1">
      <alignment horizontal="center" vertical="center"/>
    </xf>
    <xf numFmtId="0" fontId="2" fillId="0" borderId="1" xfId="0" applyFont="1" applyBorder="1" applyAlignment="1">
      <alignment horizontal="center" vertical="center"/>
    </xf>
    <xf numFmtId="0" fontId="9"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0" xfId="0" applyFont="1" applyAlignment="1">
      <alignment horizontal="center"/>
    </xf>
    <xf numFmtId="0" fontId="10"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30" fillId="0" borderId="0" xfId="0" applyFont="1" applyAlignment="1">
      <alignment horizontal="center" wrapText="1"/>
    </xf>
    <xf numFmtId="0" fontId="30" fillId="0" borderId="0" xfId="0" applyFont="1" applyAlignment="1">
      <alignment horizontal="center"/>
    </xf>
    <xf numFmtId="0" fontId="14" fillId="0" borderId="0" xfId="0" applyFont="1" applyAlignment="1">
      <alignment horizontal="center" vertical="center"/>
    </xf>
    <xf numFmtId="0" fontId="19" fillId="0" borderId="0" xfId="0" applyFont="1" applyAlignment="1">
      <alignment horizontal="center"/>
    </xf>
    <xf numFmtId="0" fontId="11" fillId="0" borderId="1"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164" fontId="17" fillId="0" borderId="4" xfId="0" applyNumberFormat="1" applyFont="1" applyBorder="1" applyAlignment="1">
      <alignment horizontal="center" vertical="center"/>
    </xf>
    <xf numFmtId="164" fontId="17" fillId="0" borderId="8" xfId="0" applyNumberFormat="1" applyFont="1" applyBorder="1" applyAlignment="1">
      <alignment horizontal="center" vertical="center"/>
    </xf>
    <xf numFmtId="0" fontId="13" fillId="0" borderId="0" xfId="0" applyFont="1" applyAlignment="1">
      <alignment horizontal="center"/>
    </xf>
    <xf numFmtId="3" fontId="22" fillId="0" borderId="0" xfId="0" applyNumberFormat="1" applyFont="1" applyAlignment="1">
      <alignment horizontal="center" vertical="center"/>
    </xf>
    <xf numFmtId="0" fontId="22" fillId="0" borderId="0" xfId="0" applyFont="1" applyAlignment="1">
      <alignment horizontal="center" vertical="center"/>
    </xf>
    <xf numFmtId="0" fontId="22" fillId="0" borderId="0" xfId="0" applyFont="1" applyAlignment="1">
      <alignment vertical="center" wrapText="1"/>
    </xf>
    <xf numFmtId="0" fontId="22" fillId="0" borderId="0" xfId="0" applyFont="1" applyAlignment="1">
      <alignment horizontal="justify" vertical="center" wrapText="1"/>
    </xf>
    <xf numFmtId="0" fontId="8" fillId="0" borderId="0" xfId="0" applyFont="1" applyAlignment="1">
      <alignment horizontal="center" vertical="center"/>
    </xf>
    <xf numFmtId="0" fontId="29" fillId="0" borderId="0" xfId="0" applyFont="1" applyAlignment="1">
      <alignment horizontal="center" vertical="center"/>
    </xf>
    <xf numFmtId="0" fontId="25" fillId="0" borderId="0" xfId="0" applyFont="1" applyAlignment="1">
      <alignment horizontal="center" vertical="center"/>
    </xf>
    <xf numFmtId="0" fontId="19" fillId="0" borderId="0" xfId="0" applyFont="1" applyAlignment="1">
      <alignment horizontal="left"/>
    </xf>
    <xf numFmtId="0" fontId="30" fillId="0" borderId="0" xfId="0" applyFont="1" applyAlignment="1">
      <alignment horizontal="center" vertical="center" wrapText="1"/>
    </xf>
    <xf numFmtId="0" fontId="30" fillId="0" borderId="0" xfId="0" applyFont="1" applyAlignment="1">
      <alignment horizontal="center" vertical="center"/>
    </xf>
    <xf numFmtId="0" fontId="25" fillId="0" borderId="1" xfId="0" applyFont="1" applyBorder="1" applyAlignment="1">
      <alignment horizontal="center"/>
    </xf>
    <xf numFmtId="0" fontId="11" fillId="0" borderId="1" xfId="0" applyFont="1" applyBorder="1" applyAlignment="1">
      <alignment horizontal="center" vertical="center"/>
    </xf>
    <xf numFmtId="0" fontId="13" fillId="0" borderId="1" xfId="0" applyFont="1" applyBorder="1" applyAlignment="1">
      <alignment horizontal="center"/>
    </xf>
    <xf numFmtId="0" fontId="13" fillId="0" borderId="1" xfId="0" applyFont="1" applyBorder="1" applyAlignment="1">
      <alignment horizontal="center" vertical="center"/>
    </xf>
    <xf numFmtId="0" fontId="4" fillId="2" borderId="0" xfId="0" applyFont="1" applyFill="1"/>
    <xf numFmtId="0" fontId="3" fillId="0" borderId="1" xfId="0" applyFont="1" applyFill="1" applyBorder="1" applyAlignment="1">
      <alignment horizontal="center" vertical="center" wrapText="1"/>
    </xf>
    <xf numFmtId="0" fontId="3" fillId="0" borderId="4" xfId="0" applyFont="1" applyFill="1" applyBorder="1" applyAlignment="1">
      <alignment vertical="center"/>
    </xf>
    <xf numFmtId="0" fontId="3" fillId="0" borderId="5" xfId="0" applyFont="1" applyFill="1" applyBorder="1" applyAlignment="1">
      <alignment vertical="center"/>
    </xf>
    <xf numFmtId="14" fontId="36" fillId="0" borderId="1" xfId="0" applyNumberFormat="1" applyFont="1" applyFill="1" applyBorder="1" applyAlignment="1">
      <alignment horizontal="center" vertical="center" wrapText="1"/>
    </xf>
    <xf numFmtId="0" fontId="27" fillId="0" borderId="1" xfId="0" applyFont="1" applyFill="1" applyBorder="1" applyAlignment="1">
      <alignment horizontal="center" vertical="center"/>
    </xf>
    <xf numFmtId="0" fontId="36" fillId="0" borderId="11" xfId="0" applyFont="1" applyFill="1" applyBorder="1" applyAlignment="1">
      <alignment horizontal="center" vertical="center"/>
    </xf>
    <xf numFmtId="0" fontId="36"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23" fillId="0" borderId="1" xfId="0" applyFont="1" applyFill="1" applyBorder="1" applyAlignment="1">
      <alignment horizontal="center" vertical="center" wrapText="1"/>
    </xf>
    <xf numFmtId="0" fontId="4" fillId="0" borderId="0" xfId="0" applyFont="1" applyFill="1"/>
    <xf numFmtId="0" fontId="3" fillId="0" borderId="8" xfId="0" applyFont="1" applyFill="1" applyBorder="1" applyAlignment="1">
      <alignment vertical="center"/>
    </xf>
    <xf numFmtId="0" fontId="37" fillId="0" borderId="11" xfId="0" applyFont="1" applyFill="1" applyBorder="1" applyAlignment="1">
      <alignment horizontal="center" vertical="center"/>
    </xf>
    <xf numFmtId="14" fontId="36" fillId="0" borderId="1" xfId="0" quotePrefix="1" applyNumberFormat="1" applyFont="1" applyFill="1" applyBorder="1" applyAlignment="1">
      <alignment horizontal="center" vertical="center" wrapText="1"/>
    </xf>
    <xf numFmtId="0" fontId="3" fillId="0" borderId="4" xfId="0" applyFont="1" applyFill="1" applyBorder="1"/>
    <xf numFmtId="0" fontId="10" fillId="0" borderId="8" xfId="0" applyFont="1" applyFill="1" applyBorder="1"/>
    <xf numFmtId="14" fontId="36"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8" fillId="0" borderId="0" xfId="0" applyFont="1" applyAlignment="1">
      <alignment horizontal="center"/>
    </xf>
    <xf numFmtId="0" fontId="8"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
      <c:rotY val="20"/>
      <c:depthPercent val="100"/>
      <c:rAngAx val="1"/>
    </c:view3D>
    <c:floor>
      <c:thickness val="0"/>
      <c:spPr>
        <a:solidFill>
          <a:schemeClr val="bg1">
            <a:lumMod val="95000"/>
          </a:schemeClr>
        </a:solidFill>
      </c:spPr>
    </c:floor>
    <c:sideWall>
      <c:thickness val="0"/>
    </c:sideWall>
    <c:backWall>
      <c:thickness val="0"/>
    </c:backWall>
    <c:plotArea>
      <c:layout>
        <c:manualLayout>
          <c:layoutTarget val="inner"/>
          <c:xMode val="edge"/>
          <c:yMode val="edge"/>
          <c:x val="9.5928977420868755E-2"/>
          <c:y val="4.2635658914728682E-2"/>
          <c:w val="0.88127965792355423"/>
          <c:h val="0.76536165537447354"/>
        </c:manualLayout>
      </c:layout>
      <c:bar3DChart>
        <c:barDir val="col"/>
        <c:grouping val="clustered"/>
        <c:varyColors val="0"/>
        <c:ser>
          <c:idx val="0"/>
          <c:order val="0"/>
          <c:tx>
            <c:strRef>
              <c:f>'BIỂU ĐỒ'!$AC$4</c:f>
              <c:strCache>
                <c:ptCount val="1"/>
                <c:pt idx="0">
                  <c:v>Tỷ lệ %</c:v>
                </c:pt>
              </c:strCache>
            </c:strRef>
          </c:tx>
          <c:spPr>
            <a:solidFill>
              <a:schemeClr val="accent5">
                <a:lumMod val="50000"/>
              </a:schemeClr>
            </a:solidFill>
            <a:ln>
              <a:noFill/>
            </a:ln>
          </c:spPr>
          <c:invertIfNegative val="0"/>
          <c:dLbls>
            <c:dLbl>
              <c:idx val="0"/>
              <c:layout>
                <c:manualLayout>
                  <c:x val="1.1037564662343206E-2"/>
                  <c:y val="-3.092943816805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EB-4F76-A02E-0474D89A0EFE}"/>
                </c:ext>
              </c:extLst>
            </c:dLbl>
            <c:dLbl>
              <c:idx val="1"/>
              <c:layout>
                <c:manualLayout>
                  <c:x val="1.5443657853672419E-2"/>
                  <c:y val="-3.0873445167180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EB-4F76-A02E-0474D89A0EFE}"/>
                </c:ext>
              </c:extLst>
            </c:dLbl>
            <c:dLbl>
              <c:idx val="2"/>
              <c:layout>
                <c:manualLayout>
                  <c:x val="1.3236110298437855E-2"/>
                  <c:y val="-3.08731408573928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EB-4F76-A02E-0474D89A0EFE}"/>
                </c:ext>
              </c:extLst>
            </c:dLbl>
            <c:dLbl>
              <c:idx val="3"/>
              <c:layout>
                <c:manualLayout>
                  <c:x val="1.3235937184608242E-2"/>
                  <c:y val="-3.0873445167180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EB-4F76-A02E-0474D89A0EFE}"/>
                </c:ext>
              </c:extLst>
            </c:dLbl>
            <c:spPr>
              <a:solidFill>
                <a:schemeClr val="accent6">
                  <a:lumMod val="40000"/>
                  <a:lumOff val="60000"/>
                </a:schemeClr>
              </a:solidFill>
            </c:spPr>
            <c:txPr>
              <a:bodyPr/>
              <a:lstStyle/>
              <a:p>
                <a:pPr>
                  <a:defRPr sz="105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'BIỂU ĐỒ'!$AB$6:$AB$11</c:f>
              <c:strCache>
                <c:ptCount val="6"/>
                <c:pt idx="0">
                  <c:v>Suy dinh dưỡng thấp còi</c:v>
                </c:pt>
                <c:pt idx="1">
                  <c:v>Bình thường</c:v>
                </c:pt>
                <c:pt idx="2">
                  <c:v>Cao hơn tuổi</c:v>
                </c:pt>
                <c:pt idx="3">
                  <c:v>Suy dinh dưỡng thể nhẹ cân</c:v>
                </c:pt>
                <c:pt idx="4">
                  <c:v>Bình thường</c:v>
                </c:pt>
                <c:pt idx="5">
                  <c:v>Cân nặng cao</c:v>
                </c:pt>
              </c:strCache>
            </c:strRef>
          </c:cat>
          <c:val>
            <c:numRef>
              <c:f>'BIỂU ĐỒ'!$AC$6:$AC$11</c:f>
              <c:numCache>
                <c:formatCode>0.0%</c:formatCode>
                <c:ptCount val="6"/>
                <c:pt idx="0">
                  <c:v>2.6000000000000002E-2</c:v>
                </c:pt>
                <c:pt idx="1">
                  <c:v>0.96400000000000008</c:v>
                </c:pt>
                <c:pt idx="2">
                  <c:v>0.01</c:v>
                </c:pt>
                <c:pt idx="3">
                  <c:v>0.01</c:v>
                </c:pt>
                <c:pt idx="4">
                  <c:v>0.877</c:v>
                </c:pt>
                <c:pt idx="5">
                  <c:v>0.113</c:v>
                </c:pt>
              </c:numCache>
            </c:numRef>
          </c:val>
          <c:extLst>
            <c:ext xmlns:c16="http://schemas.microsoft.com/office/drawing/2014/chart" uri="{C3380CC4-5D6E-409C-BE32-E72D297353CC}">
              <c16:uniqueId val="{00000004-85EB-4F76-A02E-0474D89A0EFE}"/>
            </c:ext>
          </c:extLst>
        </c:ser>
        <c:dLbls>
          <c:showLegendKey val="0"/>
          <c:showVal val="0"/>
          <c:showCatName val="0"/>
          <c:showSerName val="0"/>
          <c:showPercent val="0"/>
          <c:showBubbleSize val="0"/>
        </c:dLbls>
        <c:gapWidth val="227"/>
        <c:gapDepth val="3"/>
        <c:shape val="box"/>
        <c:axId val="-2097930000"/>
        <c:axId val="-2097932720"/>
        <c:axId val="0"/>
      </c:bar3DChart>
      <c:catAx>
        <c:axId val="-2097930000"/>
        <c:scaling>
          <c:orientation val="minMax"/>
        </c:scaling>
        <c:delete val="0"/>
        <c:axPos val="b"/>
        <c:numFmt formatCode="General" sourceLinked="0"/>
        <c:majorTickMark val="out"/>
        <c:minorTickMark val="none"/>
        <c:tickLblPos val="nextTo"/>
        <c:txPr>
          <a:bodyPr/>
          <a:lstStyle/>
          <a:p>
            <a:pPr>
              <a:defRPr b="1">
                <a:latin typeface="Arial" pitchFamily="34" charset="0"/>
                <a:cs typeface="Arial" pitchFamily="34" charset="0"/>
              </a:defRPr>
            </a:pPr>
            <a:endParaRPr lang="en-US"/>
          </a:p>
        </c:txPr>
        <c:crossAx val="-2097932720"/>
        <c:crosses val="autoZero"/>
        <c:auto val="1"/>
        <c:lblAlgn val="ctr"/>
        <c:lblOffset val="100"/>
        <c:noMultiLvlLbl val="0"/>
      </c:catAx>
      <c:valAx>
        <c:axId val="-2097932720"/>
        <c:scaling>
          <c:orientation val="minMax"/>
        </c:scaling>
        <c:delete val="0"/>
        <c:axPos val="l"/>
        <c:majorGridlines>
          <c:spPr>
            <a:ln>
              <a:noFill/>
            </a:ln>
          </c:spPr>
        </c:majorGridlines>
        <c:numFmt formatCode="0.0%" sourceLinked="1"/>
        <c:majorTickMark val="out"/>
        <c:minorTickMark val="none"/>
        <c:tickLblPos val="nextTo"/>
        <c:txPr>
          <a:bodyPr/>
          <a:lstStyle/>
          <a:p>
            <a:pPr>
              <a:defRPr b="1">
                <a:latin typeface="Arial" pitchFamily="34" charset="0"/>
                <a:cs typeface="Arial" pitchFamily="34" charset="0"/>
              </a:defRPr>
            </a:pPr>
            <a:endParaRPr lang="en-US"/>
          </a:p>
        </c:txPr>
        <c:crossAx val="-2097930000"/>
        <c:crosses val="autoZero"/>
        <c:crossBetween val="between"/>
      </c:valAx>
    </c:plotArea>
    <c:legend>
      <c:legendPos val="r"/>
      <c:layout>
        <c:manualLayout>
          <c:xMode val="edge"/>
          <c:yMode val="edge"/>
          <c:x val="1.2528723644643764E-2"/>
          <c:y val="0.90681590673258861"/>
          <c:w val="0.10005405781230989"/>
          <c:h val="7.0088811572971976E-2"/>
        </c:manualLayout>
      </c:layout>
      <c:overlay val="0"/>
    </c:legend>
    <c:plotVisOnly val="1"/>
    <c:dispBlanksAs val="gap"/>
    <c:showDLblsOverMax val="0"/>
  </c:chart>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
      <c:rotY val="20"/>
      <c:depthPercent val="100"/>
      <c:rAngAx val="1"/>
    </c:view3D>
    <c:floor>
      <c:thickness val="0"/>
      <c:spPr>
        <a:solidFill>
          <a:schemeClr val="bg1">
            <a:lumMod val="95000"/>
          </a:schemeClr>
        </a:solidFill>
      </c:spPr>
    </c:floor>
    <c:sideWall>
      <c:thickness val="0"/>
    </c:sideWall>
    <c:backWall>
      <c:thickness val="0"/>
    </c:backWall>
    <c:plotArea>
      <c:layout>
        <c:manualLayout>
          <c:layoutTarget val="inner"/>
          <c:xMode val="edge"/>
          <c:yMode val="edge"/>
          <c:x val="9.5928977420868755E-2"/>
          <c:y val="4.2635658914728682E-2"/>
          <c:w val="0.88127965792355423"/>
          <c:h val="0.76536165537447354"/>
        </c:manualLayout>
      </c:layout>
      <c:bar3DChart>
        <c:barDir val="col"/>
        <c:grouping val="clustered"/>
        <c:varyColors val="0"/>
        <c:ser>
          <c:idx val="0"/>
          <c:order val="0"/>
          <c:tx>
            <c:strRef>
              <c:f>'BIỂU ĐỒ'!$AC$26</c:f>
              <c:strCache>
                <c:ptCount val="1"/>
                <c:pt idx="0">
                  <c:v>Tỷ lệ %</c:v>
                </c:pt>
              </c:strCache>
            </c:strRef>
          </c:tx>
          <c:spPr>
            <a:solidFill>
              <a:srgbClr val="089C75"/>
            </a:solidFill>
            <a:ln>
              <a:noFill/>
            </a:ln>
          </c:spPr>
          <c:invertIfNegative val="0"/>
          <c:dLbls>
            <c:dLbl>
              <c:idx val="0"/>
              <c:layout>
                <c:manualLayout>
                  <c:x val="1.1037527593818944E-2"/>
                  <c:y val="-2.31998724363890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44-4250-B5E5-0805C2C83B0E}"/>
                </c:ext>
              </c:extLst>
            </c:dLbl>
            <c:dLbl>
              <c:idx val="1"/>
              <c:layout>
                <c:manualLayout>
                  <c:x val="1.3245033112582781E-2"/>
                  <c:y val="-2.3143987425872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44-4250-B5E5-0805C2C83B0E}"/>
                </c:ext>
              </c:extLst>
            </c:dLbl>
            <c:dLbl>
              <c:idx val="2"/>
              <c:layout>
                <c:manualLayout>
                  <c:x val="1.1037527593818985E-2"/>
                  <c:y val="-2.31436837029894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44-4250-B5E5-0805C2C83B0E}"/>
                </c:ext>
              </c:extLst>
            </c:dLbl>
            <c:dLbl>
              <c:idx val="3"/>
              <c:layout>
                <c:manualLayout>
                  <c:x val="1.1037527593818985E-2"/>
                  <c:y val="-2.31439874258726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44-4250-B5E5-0805C2C83B0E}"/>
                </c:ext>
              </c:extLst>
            </c:dLbl>
            <c:dLbl>
              <c:idx val="4"/>
              <c:layout>
                <c:manualLayout>
                  <c:x val="1.3232511881970546E-2"/>
                  <c:y val="-1.92837499028220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44-4250-B5E5-0805C2C83B0E}"/>
                </c:ext>
              </c:extLst>
            </c:dLbl>
            <c:spPr>
              <a:solidFill>
                <a:schemeClr val="accent6">
                  <a:lumMod val="40000"/>
                  <a:lumOff val="60000"/>
                </a:schemeClr>
              </a:solidFill>
            </c:spPr>
            <c:txPr>
              <a:bodyPr/>
              <a:lstStyle/>
              <a:p>
                <a:pPr>
                  <a:defRPr sz="105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'BIỂU ĐỒ'!$AB$28:$AB$31</c:f>
              <c:strCache>
                <c:ptCount val="4"/>
                <c:pt idx="0">
                  <c:v>Suy dinh dưỡng gầy còm</c:v>
                </c:pt>
                <c:pt idx="1">
                  <c:v>Bình thường</c:v>
                </c:pt>
                <c:pt idx="2">
                  <c:v>Thừa cân</c:v>
                </c:pt>
                <c:pt idx="3">
                  <c:v>Béo phì</c:v>
                </c:pt>
              </c:strCache>
            </c:strRef>
          </c:cat>
          <c:val>
            <c:numRef>
              <c:f>'BIỂU ĐỒ'!$AC$28:$AC$31</c:f>
              <c:numCache>
                <c:formatCode>0.0%</c:formatCode>
                <c:ptCount val="4"/>
                <c:pt idx="0">
                  <c:v>5.0000000000000001E-3</c:v>
                </c:pt>
                <c:pt idx="1">
                  <c:v>0.85099999999999998</c:v>
                </c:pt>
                <c:pt idx="2">
                  <c:v>7.2000000000000008E-2</c:v>
                </c:pt>
                <c:pt idx="3">
                  <c:v>7.2000000000000008E-2</c:v>
                </c:pt>
              </c:numCache>
            </c:numRef>
          </c:val>
          <c:extLst>
            <c:ext xmlns:c16="http://schemas.microsoft.com/office/drawing/2014/chart" uri="{C3380CC4-5D6E-409C-BE32-E72D297353CC}">
              <c16:uniqueId val="{00000005-CA44-4250-B5E5-0805C2C83B0E}"/>
            </c:ext>
          </c:extLst>
        </c:ser>
        <c:dLbls>
          <c:showLegendKey val="0"/>
          <c:showVal val="0"/>
          <c:showCatName val="0"/>
          <c:showSerName val="0"/>
          <c:showPercent val="0"/>
          <c:showBubbleSize val="0"/>
        </c:dLbls>
        <c:gapWidth val="170"/>
        <c:gapDepth val="216"/>
        <c:shape val="box"/>
        <c:axId val="-2097935984"/>
        <c:axId val="-2097935440"/>
        <c:axId val="0"/>
      </c:bar3DChart>
      <c:catAx>
        <c:axId val="-2097935984"/>
        <c:scaling>
          <c:orientation val="minMax"/>
        </c:scaling>
        <c:delete val="0"/>
        <c:axPos val="b"/>
        <c:numFmt formatCode="General" sourceLinked="0"/>
        <c:majorTickMark val="out"/>
        <c:minorTickMark val="none"/>
        <c:tickLblPos val="nextTo"/>
        <c:txPr>
          <a:bodyPr/>
          <a:lstStyle/>
          <a:p>
            <a:pPr>
              <a:defRPr b="1">
                <a:latin typeface="Arial" pitchFamily="34" charset="0"/>
                <a:cs typeface="Arial" pitchFamily="34" charset="0"/>
              </a:defRPr>
            </a:pPr>
            <a:endParaRPr lang="en-US"/>
          </a:p>
        </c:txPr>
        <c:crossAx val="-2097935440"/>
        <c:crosses val="autoZero"/>
        <c:auto val="1"/>
        <c:lblAlgn val="ctr"/>
        <c:lblOffset val="100"/>
        <c:noMultiLvlLbl val="0"/>
      </c:catAx>
      <c:valAx>
        <c:axId val="-2097935440"/>
        <c:scaling>
          <c:orientation val="minMax"/>
        </c:scaling>
        <c:delete val="0"/>
        <c:axPos val="l"/>
        <c:majorGridlines>
          <c:spPr>
            <a:ln>
              <a:noFill/>
            </a:ln>
          </c:spPr>
        </c:majorGridlines>
        <c:numFmt formatCode="0.0%" sourceLinked="1"/>
        <c:majorTickMark val="out"/>
        <c:minorTickMark val="none"/>
        <c:tickLblPos val="nextTo"/>
        <c:txPr>
          <a:bodyPr/>
          <a:lstStyle/>
          <a:p>
            <a:pPr>
              <a:defRPr b="1">
                <a:latin typeface="Arial" pitchFamily="34" charset="0"/>
                <a:cs typeface="Arial" pitchFamily="34" charset="0"/>
              </a:defRPr>
            </a:pPr>
            <a:endParaRPr lang="en-US"/>
          </a:p>
        </c:txPr>
        <c:crossAx val="-2097935984"/>
        <c:crosses val="autoZero"/>
        <c:crossBetween val="between"/>
      </c:valAx>
    </c:plotArea>
    <c:legend>
      <c:legendPos val="r"/>
      <c:layout>
        <c:manualLayout>
          <c:xMode val="edge"/>
          <c:yMode val="edge"/>
          <c:x val="1.2528723644643764E-2"/>
          <c:y val="0.90681590673258861"/>
          <c:w val="0.10005405781230989"/>
          <c:h val="7.0088811572971976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
      <c:rotY val="20"/>
      <c:depthPercent val="100"/>
      <c:rAngAx val="1"/>
    </c:view3D>
    <c:floor>
      <c:thickness val="0"/>
      <c:spPr>
        <a:solidFill>
          <a:schemeClr val="bg1">
            <a:lumMod val="95000"/>
          </a:schemeClr>
        </a:solidFill>
      </c:spPr>
    </c:floor>
    <c:sideWall>
      <c:thickness val="0"/>
    </c:sideWall>
    <c:backWall>
      <c:thickness val="0"/>
    </c:backWall>
    <c:plotArea>
      <c:layout>
        <c:manualLayout>
          <c:layoutTarget val="inner"/>
          <c:xMode val="edge"/>
          <c:yMode val="edge"/>
          <c:x val="9.5928977420868755E-2"/>
          <c:y val="4.2635658914728682E-2"/>
          <c:w val="0.88127965792355423"/>
          <c:h val="0.76536165537447354"/>
        </c:manualLayout>
      </c:layout>
      <c:bar3DChart>
        <c:barDir val="col"/>
        <c:grouping val="clustered"/>
        <c:varyColors val="0"/>
        <c:ser>
          <c:idx val="0"/>
          <c:order val="0"/>
          <c:tx>
            <c:strRef>
              <c:f>'BIỂU ĐỒ'!$AC$43</c:f>
              <c:strCache>
                <c:ptCount val="1"/>
                <c:pt idx="0">
                  <c:v>Tỷ lệ %</c:v>
                </c:pt>
              </c:strCache>
            </c:strRef>
          </c:tx>
          <c:spPr>
            <a:solidFill>
              <a:schemeClr val="accent6"/>
            </a:solidFill>
            <a:ln>
              <a:noFill/>
            </a:ln>
          </c:spPr>
          <c:invertIfNegative val="0"/>
          <c:dLbls>
            <c:dLbl>
              <c:idx val="0"/>
              <c:layout>
                <c:manualLayout>
                  <c:x val="1.1037564662343206E-2"/>
                  <c:y val="-3.092943816805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FF-494F-8B5C-D5F23D74B9BA}"/>
                </c:ext>
              </c:extLst>
            </c:dLbl>
            <c:dLbl>
              <c:idx val="1"/>
              <c:layout>
                <c:manualLayout>
                  <c:x val="1.5443657853672419E-2"/>
                  <c:y val="-3.0873445167180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FF-494F-8B5C-D5F23D74B9BA}"/>
                </c:ext>
              </c:extLst>
            </c:dLbl>
            <c:dLbl>
              <c:idx val="2"/>
              <c:layout>
                <c:manualLayout>
                  <c:x val="1.3236110298437855E-2"/>
                  <c:y val="-3.08731408573928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FF-494F-8B5C-D5F23D74B9BA}"/>
                </c:ext>
              </c:extLst>
            </c:dLbl>
            <c:dLbl>
              <c:idx val="3"/>
              <c:layout>
                <c:manualLayout>
                  <c:x val="1.3235937184608242E-2"/>
                  <c:y val="-3.0873445167180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FF-494F-8B5C-D5F23D74B9BA}"/>
                </c:ext>
              </c:extLst>
            </c:dLbl>
            <c:spPr>
              <a:solidFill>
                <a:schemeClr val="accent3">
                  <a:lumMod val="40000"/>
                  <a:lumOff val="60000"/>
                </a:schemeClr>
              </a:solidFill>
            </c:spPr>
            <c:txPr>
              <a:bodyPr/>
              <a:lstStyle/>
              <a:p>
                <a:pPr>
                  <a:defRPr sz="105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'BIỂU ĐỒ'!$AB$44:$AB$48</c:f>
              <c:strCache>
                <c:ptCount val="5"/>
                <c:pt idx="0">
                  <c:v>Mắt</c:v>
                </c:pt>
                <c:pt idx="1">
                  <c:v>Nội nhi</c:v>
                </c:pt>
                <c:pt idx="2">
                  <c:v>Tai - Mũi - Họng</c:v>
                </c:pt>
                <c:pt idx="3">
                  <c:v>Răng - Hàm - Mặt</c:v>
                </c:pt>
                <c:pt idx="4">
                  <c:v>Khác</c:v>
                </c:pt>
              </c:strCache>
            </c:strRef>
          </c:cat>
          <c:val>
            <c:numRef>
              <c:f>'BIỂU ĐỒ'!$AC$44:$AC$48</c:f>
              <c:numCache>
                <c:formatCode>0.0%</c:formatCode>
                <c:ptCount val="5"/>
                <c:pt idx="0">
                  <c:v>2.1000000000000001E-2</c:v>
                </c:pt>
                <c:pt idx="1">
                  <c:v>0</c:v>
                </c:pt>
                <c:pt idx="2">
                  <c:v>0.113</c:v>
                </c:pt>
                <c:pt idx="3">
                  <c:v>0.14899999999999999</c:v>
                </c:pt>
                <c:pt idx="4">
                  <c:v>0</c:v>
                </c:pt>
              </c:numCache>
            </c:numRef>
          </c:val>
          <c:extLst>
            <c:ext xmlns:c16="http://schemas.microsoft.com/office/drawing/2014/chart" uri="{C3380CC4-5D6E-409C-BE32-E72D297353CC}">
              <c16:uniqueId val="{00000004-CAFF-494F-8B5C-D5F23D74B9BA}"/>
            </c:ext>
          </c:extLst>
        </c:ser>
        <c:dLbls>
          <c:showLegendKey val="0"/>
          <c:showVal val="0"/>
          <c:showCatName val="0"/>
          <c:showSerName val="0"/>
          <c:showPercent val="0"/>
          <c:showBubbleSize val="0"/>
        </c:dLbls>
        <c:gapWidth val="227"/>
        <c:gapDepth val="164"/>
        <c:shape val="box"/>
        <c:axId val="-2097940336"/>
        <c:axId val="-2097939792"/>
        <c:axId val="0"/>
      </c:bar3DChart>
      <c:catAx>
        <c:axId val="-2097940336"/>
        <c:scaling>
          <c:orientation val="minMax"/>
        </c:scaling>
        <c:delete val="0"/>
        <c:axPos val="b"/>
        <c:numFmt formatCode="General" sourceLinked="0"/>
        <c:majorTickMark val="out"/>
        <c:minorTickMark val="none"/>
        <c:tickLblPos val="nextTo"/>
        <c:txPr>
          <a:bodyPr/>
          <a:lstStyle/>
          <a:p>
            <a:pPr>
              <a:defRPr b="1">
                <a:latin typeface="Arial" pitchFamily="34" charset="0"/>
                <a:cs typeface="Arial" pitchFamily="34" charset="0"/>
              </a:defRPr>
            </a:pPr>
            <a:endParaRPr lang="en-US"/>
          </a:p>
        </c:txPr>
        <c:crossAx val="-2097939792"/>
        <c:crosses val="autoZero"/>
        <c:auto val="1"/>
        <c:lblAlgn val="ctr"/>
        <c:lblOffset val="100"/>
        <c:noMultiLvlLbl val="0"/>
      </c:catAx>
      <c:valAx>
        <c:axId val="-2097939792"/>
        <c:scaling>
          <c:orientation val="minMax"/>
        </c:scaling>
        <c:delete val="0"/>
        <c:axPos val="l"/>
        <c:majorGridlines>
          <c:spPr>
            <a:ln>
              <a:noFill/>
            </a:ln>
          </c:spPr>
        </c:majorGridlines>
        <c:numFmt formatCode="0.0%" sourceLinked="1"/>
        <c:majorTickMark val="out"/>
        <c:minorTickMark val="none"/>
        <c:tickLblPos val="nextTo"/>
        <c:txPr>
          <a:bodyPr/>
          <a:lstStyle/>
          <a:p>
            <a:pPr>
              <a:defRPr b="1">
                <a:latin typeface="Arial" pitchFamily="34" charset="0"/>
                <a:cs typeface="Arial" pitchFamily="34" charset="0"/>
              </a:defRPr>
            </a:pPr>
            <a:endParaRPr lang="en-US"/>
          </a:p>
        </c:txPr>
        <c:crossAx val="-2097940336"/>
        <c:crosses val="autoZero"/>
        <c:crossBetween val="between"/>
      </c:valAx>
    </c:plotArea>
    <c:legend>
      <c:legendPos val="r"/>
      <c:layout>
        <c:manualLayout>
          <c:xMode val="edge"/>
          <c:yMode val="edge"/>
          <c:x val="1.2528723644643764E-2"/>
          <c:y val="0.90681590673258861"/>
          <c:w val="0.10005405781230989"/>
          <c:h val="7.0088811572971976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
      <c:rotY val="20"/>
      <c:depthPercent val="100"/>
      <c:rAngAx val="1"/>
    </c:view3D>
    <c:floor>
      <c:thickness val="0"/>
      <c:spPr>
        <a:solidFill>
          <a:schemeClr val="bg1">
            <a:lumMod val="95000"/>
          </a:schemeClr>
        </a:solidFill>
      </c:spPr>
    </c:floor>
    <c:sideWall>
      <c:thickness val="0"/>
    </c:sideWall>
    <c:backWall>
      <c:thickness val="0"/>
    </c:backWall>
    <c:plotArea>
      <c:layout>
        <c:manualLayout>
          <c:layoutTarget val="inner"/>
          <c:xMode val="edge"/>
          <c:yMode val="edge"/>
          <c:x val="9.5928977420868755E-2"/>
          <c:y val="4.2635658914728682E-2"/>
          <c:w val="0.88127965792355423"/>
          <c:h val="0.76536165537447354"/>
        </c:manualLayout>
      </c:layout>
      <c:bar3DChart>
        <c:barDir val="col"/>
        <c:grouping val="clustered"/>
        <c:varyColors val="0"/>
        <c:ser>
          <c:idx val="0"/>
          <c:order val="0"/>
          <c:tx>
            <c:strRef>
              <c:f>'BIỂU ĐỒ'!$AC$57</c:f>
              <c:strCache>
                <c:ptCount val="1"/>
                <c:pt idx="0">
                  <c:v>Tỷ lệ %</c:v>
                </c:pt>
              </c:strCache>
            </c:strRef>
          </c:tx>
          <c:spPr>
            <a:solidFill>
              <a:schemeClr val="accent2">
                <a:lumMod val="50000"/>
              </a:schemeClr>
            </a:solidFill>
            <a:ln>
              <a:noFill/>
            </a:ln>
          </c:spPr>
          <c:invertIfNegative val="0"/>
          <c:dLbls>
            <c:dLbl>
              <c:idx val="0"/>
              <c:layout>
                <c:manualLayout>
                  <c:x val="1.1037564662343206E-2"/>
                  <c:y val="-3.092943816805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34-41C2-80A8-3D2A55F53B1F}"/>
                </c:ext>
              </c:extLst>
            </c:dLbl>
            <c:dLbl>
              <c:idx val="1"/>
              <c:layout>
                <c:manualLayout>
                  <c:x val="1.5443657853672419E-2"/>
                  <c:y val="-3.0873445167180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34-41C2-80A8-3D2A55F53B1F}"/>
                </c:ext>
              </c:extLst>
            </c:dLbl>
            <c:dLbl>
              <c:idx val="2"/>
              <c:layout>
                <c:manualLayout>
                  <c:x val="1.3236110298437855E-2"/>
                  <c:y val="-3.08731408573928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34-41C2-80A8-3D2A55F53B1F}"/>
                </c:ext>
              </c:extLst>
            </c:dLbl>
            <c:dLbl>
              <c:idx val="3"/>
              <c:layout>
                <c:manualLayout>
                  <c:x val="1.3235937184608242E-2"/>
                  <c:y val="-3.0873445167180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34-41C2-80A8-3D2A55F53B1F}"/>
                </c:ext>
              </c:extLst>
            </c:dLbl>
            <c:spPr>
              <a:solidFill>
                <a:schemeClr val="accent3">
                  <a:lumMod val="40000"/>
                  <a:lumOff val="60000"/>
                </a:schemeClr>
              </a:solidFill>
            </c:spPr>
            <c:txPr>
              <a:bodyPr/>
              <a:lstStyle/>
              <a:p>
                <a:pPr>
                  <a:defRPr sz="105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'BIỂU ĐỒ'!$AB$58:$AB$60</c:f>
              <c:strCache>
                <c:ptCount val="3"/>
                <c:pt idx="0">
                  <c:v>Loại I</c:v>
                </c:pt>
                <c:pt idx="1">
                  <c:v>Loại II</c:v>
                </c:pt>
                <c:pt idx="2">
                  <c:v>Loại III</c:v>
                </c:pt>
              </c:strCache>
            </c:strRef>
          </c:cat>
          <c:val>
            <c:numRef>
              <c:f>'BIỂU ĐỒ'!$AC$58:$AC$60</c:f>
              <c:numCache>
                <c:formatCode>0.0%</c:formatCode>
                <c:ptCount val="3"/>
                <c:pt idx="0">
                  <c:v>0.63600000000000001</c:v>
                </c:pt>
                <c:pt idx="1">
                  <c:v>0.29199999999999998</c:v>
                </c:pt>
                <c:pt idx="2">
                  <c:v>7.2000000000000008E-2</c:v>
                </c:pt>
              </c:numCache>
            </c:numRef>
          </c:val>
          <c:extLst>
            <c:ext xmlns:c16="http://schemas.microsoft.com/office/drawing/2014/chart" uri="{C3380CC4-5D6E-409C-BE32-E72D297353CC}">
              <c16:uniqueId val="{00000004-8534-41C2-80A8-3D2A55F53B1F}"/>
            </c:ext>
          </c:extLst>
        </c:ser>
        <c:dLbls>
          <c:showLegendKey val="0"/>
          <c:showVal val="0"/>
          <c:showCatName val="0"/>
          <c:showSerName val="0"/>
          <c:showPercent val="0"/>
          <c:showBubbleSize val="0"/>
        </c:dLbls>
        <c:gapWidth val="313"/>
        <c:gapDepth val="199"/>
        <c:shape val="box"/>
        <c:axId val="-2097933808"/>
        <c:axId val="-2097928368"/>
        <c:axId val="0"/>
      </c:bar3DChart>
      <c:catAx>
        <c:axId val="-2097933808"/>
        <c:scaling>
          <c:orientation val="minMax"/>
        </c:scaling>
        <c:delete val="0"/>
        <c:axPos val="b"/>
        <c:numFmt formatCode="General" sourceLinked="0"/>
        <c:majorTickMark val="out"/>
        <c:minorTickMark val="none"/>
        <c:tickLblPos val="nextTo"/>
        <c:txPr>
          <a:bodyPr/>
          <a:lstStyle/>
          <a:p>
            <a:pPr>
              <a:defRPr b="1">
                <a:latin typeface="Arial" pitchFamily="34" charset="0"/>
                <a:cs typeface="Arial" pitchFamily="34" charset="0"/>
              </a:defRPr>
            </a:pPr>
            <a:endParaRPr lang="en-US"/>
          </a:p>
        </c:txPr>
        <c:crossAx val="-2097928368"/>
        <c:crosses val="autoZero"/>
        <c:auto val="1"/>
        <c:lblAlgn val="ctr"/>
        <c:lblOffset val="100"/>
        <c:noMultiLvlLbl val="0"/>
      </c:catAx>
      <c:valAx>
        <c:axId val="-2097928368"/>
        <c:scaling>
          <c:orientation val="minMax"/>
        </c:scaling>
        <c:delete val="0"/>
        <c:axPos val="l"/>
        <c:majorGridlines>
          <c:spPr>
            <a:ln>
              <a:noFill/>
            </a:ln>
          </c:spPr>
        </c:majorGridlines>
        <c:numFmt formatCode="0.0%" sourceLinked="1"/>
        <c:majorTickMark val="out"/>
        <c:minorTickMark val="none"/>
        <c:tickLblPos val="nextTo"/>
        <c:txPr>
          <a:bodyPr/>
          <a:lstStyle/>
          <a:p>
            <a:pPr>
              <a:defRPr b="1">
                <a:latin typeface="Arial" pitchFamily="34" charset="0"/>
                <a:cs typeface="Arial" pitchFamily="34" charset="0"/>
              </a:defRPr>
            </a:pPr>
            <a:endParaRPr lang="en-US"/>
          </a:p>
        </c:txPr>
        <c:crossAx val="-2097933808"/>
        <c:crosses val="autoZero"/>
        <c:crossBetween val="between"/>
      </c:valAx>
    </c:plotArea>
    <c:legend>
      <c:legendPos val="r"/>
      <c:layout>
        <c:manualLayout>
          <c:xMode val="edge"/>
          <c:yMode val="edge"/>
          <c:x val="1.2528723644643764E-2"/>
          <c:y val="0.90681590673258861"/>
          <c:w val="0.10005405781230989"/>
          <c:h val="7.0088811572971976E-2"/>
        </c:manualLayout>
      </c:layout>
      <c:overlay val="0"/>
    </c:legend>
    <c:plotVisOnly val="1"/>
    <c:dispBlanksAs val="gap"/>
    <c:showDLblsOverMax val="0"/>
  </c:chart>
  <c:printSettings>
    <c:headerFooter/>
    <c:pageMargins b="0.75" l="0.7" r="0.7" t="0.75" header="0.3" footer="0.3"/>
    <c:pageSetup/>
  </c:printSettings>
</c:chartSpac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6EA2F921-B5FF-4539-98C1-EF84AD8186F7}"/>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6F7434E4-5ECC-479A-B8F0-E65C0108CFA7}"/>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9E5A5D1B-17CA-497F-8E79-A668B8774E9C}"/>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E548A303-C603-4BF5-9DD4-C4398EEE9B01}"/>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F6D629C4-8D76-477C-AB1F-0BB8379293D0}"/>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304800" cy="304800"/>
    <xdr:sp macro="" textlink="">
      <xdr:nvSpPr>
        <xdr:cNvPr id="7" name="AutoShape 1">
          <a:extLst>
            <a:ext uri="{FF2B5EF4-FFF2-40B4-BE49-F238E27FC236}">
              <a16:creationId xmlns:a16="http://schemas.microsoft.com/office/drawing/2014/main" id="{F6E311FA-71CE-4822-9DF2-69FB3287C1E0}"/>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19</xdr:row>
      <xdr:rowOff>0</xdr:rowOff>
    </xdr:from>
    <xdr:ext cx="304800" cy="304800"/>
    <xdr:sp macro="" textlink="">
      <xdr:nvSpPr>
        <xdr:cNvPr id="8" name="AutoShape 1">
          <a:extLst>
            <a:ext uri="{FF2B5EF4-FFF2-40B4-BE49-F238E27FC236}">
              <a16:creationId xmlns:a16="http://schemas.microsoft.com/office/drawing/2014/main" id="{CD23409C-58BD-4271-B604-438D29688B30}"/>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19</xdr:row>
      <xdr:rowOff>0</xdr:rowOff>
    </xdr:from>
    <xdr:ext cx="304800" cy="304800"/>
    <xdr:sp macro="" textlink="">
      <xdr:nvSpPr>
        <xdr:cNvPr id="9" name="AutoShape 1">
          <a:extLst>
            <a:ext uri="{FF2B5EF4-FFF2-40B4-BE49-F238E27FC236}">
              <a16:creationId xmlns:a16="http://schemas.microsoft.com/office/drawing/2014/main" id="{1631894C-0F4C-4484-B567-D4C27C89B5A6}"/>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19</xdr:row>
      <xdr:rowOff>0</xdr:rowOff>
    </xdr:from>
    <xdr:ext cx="304800" cy="304800"/>
    <xdr:sp macro="" textlink="">
      <xdr:nvSpPr>
        <xdr:cNvPr id="10" name="AutoShape 1">
          <a:extLst>
            <a:ext uri="{FF2B5EF4-FFF2-40B4-BE49-F238E27FC236}">
              <a16:creationId xmlns:a16="http://schemas.microsoft.com/office/drawing/2014/main" id="{F3264E1F-075C-43D3-92AF-6370AB6BA20F}"/>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19</xdr:row>
      <xdr:rowOff>0</xdr:rowOff>
    </xdr:from>
    <xdr:ext cx="304800" cy="304800"/>
    <xdr:sp macro="" textlink="">
      <xdr:nvSpPr>
        <xdr:cNvPr id="11" name="AutoShape 1">
          <a:extLst>
            <a:ext uri="{FF2B5EF4-FFF2-40B4-BE49-F238E27FC236}">
              <a16:creationId xmlns:a16="http://schemas.microsoft.com/office/drawing/2014/main" id="{18577DBA-554C-4C39-A1B9-F3A3425385C7}"/>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10</xdr:row>
      <xdr:rowOff>0</xdr:rowOff>
    </xdr:from>
    <xdr:ext cx="304800" cy="304800"/>
    <xdr:sp macro="" textlink="">
      <xdr:nvSpPr>
        <xdr:cNvPr id="17" name="AutoShape 1">
          <a:extLst>
            <a:ext uri="{FF2B5EF4-FFF2-40B4-BE49-F238E27FC236}">
              <a16:creationId xmlns:a16="http://schemas.microsoft.com/office/drawing/2014/main" id="{9D659784-8E6A-4DF7-A726-C17AD32267F6}"/>
            </a:ext>
          </a:extLst>
        </xdr:cNvPr>
        <xdr:cNvSpPr>
          <a:spLocks noChangeAspect="1" noChangeArrowheads="1"/>
        </xdr:cNvSpPr>
      </xdr:nvSpPr>
      <xdr:spPr bwMode="auto">
        <a:xfrm>
          <a:off x="2359869" y="252713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12</xdr:row>
      <xdr:rowOff>0</xdr:rowOff>
    </xdr:from>
    <xdr:ext cx="304800" cy="304800"/>
    <xdr:sp macro="" textlink="">
      <xdr:nvSpPr>
        <xdr:cNvPr id="18" name="AutoShape 1">
          <a:extLst>
            <a:ext uri="{FF2B5EF4-FFF2-40B4-BE49-F238E27FC236}">
              <a16:creationId xmlns:a16="http://schemas.microsoft.com/office/drawing/2014/main" id="{2A8236D9-BBA2-407C-95F5-457CB02F0FF3}"/>
            </a:ext>
          </a:extLst>
        </xdr:cNvPr>
        <xdr:cNvSpPr>
          <a:spLocks noChangeAspect="1" noChangeArrowheads="1"/>
        </xdr:cNvSpPr>
      </xdr:nvSpPr>
      <xdr:spPr bwMode="auto">
        <a:xfrm>
          <a:off x="2359869" y="2970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12</xdr:row>
      <xdr:rowOff>0</xdr:rowOff>
    </xdr:from>
    <xdr:ext cx="304800" cy="304800"/>
    <xdr:sp macro="" textlink="">
      <xdr:nvSpPr>
        <xdr:cNvPr id="19" name="AutoShape 1">
          <a:extLst>
            <a:ext uri="{FF2B5EF4-FFF2-40B4-BE49-F238E27FC236}">
              <a16:creationId xmlns:a16="http://schemas.microsoft.com/office/drawing/2014/main" id="{94D72380-6297-4726-AF93-4DFF00A580FB}"/>
            </a:ext>
          </a:extLst>
        </xdr:cNvPr>
        <xdr:cNvSpPr>
          <a:spLocks noChangeAspect="1" noChangeArrowheads="1"/>
        </xdr:cNvSpPr>
      </xdr:nvSpPr>
      <xdr:spPr bwMode="auto">
        <a:xfrm>
          <a:off x="2359869" y="2970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12</xdr:row>
      <xdr:rowOff>0</xdr:rowOff>
    </xdr:from>
    <xdr:ext cx="304800" cy="304800"/>
    <xdr:sp macro="" textlink="">
      <xdr:nvSpPr>
        <xdr:cNvPr id="20" name="AutoShape 1">
          <a:extLst>
            <a:ext uri="{FF2B5EF4-FFF2-40B4-BE49-F238E27FC236}">
              <a16:creationId xmlns:a16="http://schemas.microsoft.com/office/drawing/2014/main" id="{4A36A4DC-F404-4014-BDB0-9B18DA9263D4}"/>
            </a:ext>
          </a:extLst>
        </xdr:cNvPr>
        <xdr:cNvSpPr>
          <a:spLocks noChangeAspect="1" noChangeArrowheads="1"/>
        </xdr:cNvSpPr>
      </xdr:nvSpPr>
      <xdr:spPr bwMode="auto">
        <a:xfrm>
          <a:off x="2424445" y="2970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21" name="AutoShape 1">
          <a:extLst>
            <a:ext uri="{FF2B5EF4-FFF2-40B4-BE49-F238E27FC236}">
              <a16:creationId xmlns:a16="http://schemas.microsoft.com/office/drawing/2014/main" id="{B3BC741E-F1E2-41EA-8B2D-57A9C89A2B66}"/>
            </a:ext>
          </a:extLst>
        </xdr:cNvPr>
        <xdr:cNvSpPr>
          <a:spLocks noChangeAspect="1" noChangeArrowheads="1"/>
        </xdr:cNvSpPr>
      </xdr:nvSpPr>
      <xdr:spPr bwMode="auto">
        <a:xfrm>
          <a:off x="2359869" y="31830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3" name="AutoShape 1">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5121275" y="740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5121275" y="778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5" name="AutoShape 1">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5121275" y="778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6" name="AutoShape 1">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5185851" y="778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7" name="AutoShape 1">
          <a:extLst>
            <a:ext uri="{FF2B5EF4-FFF2-40B4-BE49-F238E27FC236}">
              <a16:creationId xmlns:a16="http://schemas.microsoft.com/office/drawing/2014/main" id="{00000000-0008-0000-0000-000007000000}"/>
            </a:ext>
          </a:extLst>
        </xdr:cNvPr>
        <xdr:cNvSpPr>
          <a:spLocks noChangeAspect="1" noChangeArrowheads="1"/>
        </xdr:cNvSpPr>
      </xdr:nvSpPr>
      <xdr:spPr bwMode="auto">
        <a:xfrm>
          <a:off x="5121275" y="797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304800" cy="304800"/>
    <xdr:sp macro="" textlink="">
      <xdr:nvSpPr>
        <xdr:cNvPr id="10" name="AutoShape 1">
          <a:extLst>
            <a:ext uri="{FF2B5EF4-FFF2-40B4-BE49-F238E27FC236}">
              <a16:creationId xmlns:a16="http://schemas.microsoft.com/office/drawing/2014/main" id="{00000000-0008-0000-0000-00000A000000}"/>
            </a:ext>
          </a:extLst>
        </xdr:cNvPr>
        <xdr:cNvSpPr>
          <a:spLocks noChangeAspect="1" noChangeArrowheads="1"/>
        </xdr:cNvSpPr>
      </xdr:nvSpPr>
      <xdr:spPr bwMode="auto">
        <a:xfrm>
          <a:off x="5114925" y="104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18</xdr:row>
      <xdr:rowOff>0</xdr:rowOff>
    </xdr:from>
    <xdr:ext cx="304800" cy="304800"/>
    <xdr:sp macro="" textlink="">
      <xdr:nvSpPr>
        <xdr:cNvPr id="11" name="AutoShape 1">
          <a:extLst>
            <a:ext uri="{FF2B5EF4-FFF2-40B4-BE49-F238E27FC236}">
              <a16:creationId xmlns:a16="http://schemas.microsoft.com/office/drawing/2014/main" id="{00000000-0008-0000-0000-00000B000000}"/>
            </a:ext>
          </a:extLst>
        </xdr:cNvPr>
        <xdr:cNvSpPr>
          <a:spLocks noChangeAspect="1" noChangeArrowheads="1"/>
        </xdr:cNvSpPr>
      </xdr:nvSpPr>
      <xdr:spPr bwMode="auto">
        <a:xfrm>
          <a:off x="5121275" y="104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18</xdr:row>
      <xdr:rowOff>0</xdr:rowOff>
    </xdr:from>
    <xdr:ext cx="304800" cy="304800"/>
    <xdr:sp macro="" textlink="">
      <xdr:nvSpPr>
        <xdr:cNvPr id="12" name="AutoShape 1">
          <a:extLst>
            <a:ext uri="{FF2B5EF4-FFF2-40B4-BE49-F238E27FC236}">
              <a16:creationId xmlns:a16="http://schemas.microsoft.com/office/drawing/2014/main" id="{00000000-0008-0000-0000-00000C000000}"/>
            </a:ext>
          </a:extLst>
        </xdr:cNvPr>
        <xdr:cNvSpPr>
          <a:spLocks noChangeAspect="1" noChangeArrowheads="1"/>
        </xdr:cNvSpPr>
      </xdr:nvSpPr>
      <xdr:spPr bwMode="auto">
        <a:xfrm>
          <a:off x="5121275" y="104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18</xdr:row>
      <xdr:rowOff>0</xdr:rowOff>
    </xdr:from>
    <xdr:ext cx="304800" cy="304800"/>
    <xdr:sp macro="" textlink="">
      <xdr:nvSpPr>
        <xdr:cNvPr id="13" name="AutoShape 1">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5121275" y="104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18</xdr:row>
      <xdr:rowOff>0</xdr:rowOff>
    </xdr:from>
    <xdr:ext cx="304800" cy="304800"/>
    <xdr:sp macro="" textlink="">
      <xdr:nvSpPr>
        <xdr:cNvPr id="14" name="AutoShape 1">
          <a:extLst>
            <a:ext uri="{FF2B5EF4-FFF2-40B4-BE49-F238E27FC236}">
              <a16:creationId xmlns:a16="http://schemas.microsoft.com/office/drawing/2014/main" id="{00000000-0008-0000-0000-00000E000000}"/>
            </a:ext>
          </a:extLst>
        </xdr:cNvPr>
        <xdr:cNvSpPr>
          <a:spLocks noChangeAspect="1" noChangeArrowheads="1"/>
        </xdr:cNvSpPr>
      </xdr:nvSpPr>
      <xdr:spPr bwMode="auto">
        <a:xfrm>
          <a:off x="5121275" y="1082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10</xdr:row>
      <xdr:rowOff>0</xdr:rowOff>
    </xdr:from>
    <xdr:ext cx="304800" cy="304800"/>
    <xdr:sp macro="" textlink="">
      <xdr:nvSpPr>
        <xdr:cNvPr id="15" name="AutoShape 1">
          <a:extLst>
            <a:ext uri="{FF2B5EF4-FFF2-40B4-BE49-F238E27FC236}">
              <a16:creationId xmlns:a16="http://schemas.microsoft.com/office/drawing/2014/main" id="{9C74671C-E197-4DA7-8BBD-AF45528846FD}"/>
            </a:ext>
          </a:extLst>
        </xdr:cNvPr>
        <xdr:cNvSpPr>
          <a:spLocks noChangeAspect="1" noChangeArrowheads="1"/>
        </xdr:cNvSpPr>
      </xdr:nvSpPr>
      <xdr:spPr bwMode="auto">
        <a:xfrm>
          <a:off x="2359869" y="252713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12</xdr:row>
      <xdr:rowOff>0</xdr:rowOff>
    </xdr:from>
    <xdr:ext cx="304800" cy="304800"/>
    <xdr:sp macro="" textlink="">
      <xdr:nvSpPr>
        <xdr:cNvPr id="16" name="AutoShape 1">
          <a:extLst>
            <a:ext uri="{FF2B5EF4-FFF2-40B4-BE49-F238E27FC236}">
              <a16:creationId xmlns:a16="http://schemas.microsoft.com/office/drawing/2014/main" id="{94F9F1A7-A3C7-4F4C-8FD5-691B0E2C3164}"/>
            </a:ext>
          </a:extLst>
        </xdr:cNvPr>
        <xdr:cNvSpPr>
          <a:spLocks noChangeAspect="1" noChangeArrowheads="1"/>
        </xdr:cNvSpPr>
      </xdr:nvSpPr>
      <xdr:spPr bwMode="auto">
        <a:xfrm>
          <a:off x="2359869" y="2970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12</xdr:row>
      <xdr:rowOff>0</xdr:rowOff>
    </xdr:from>
    <xdr:ext cx="304800" cy="304800"/>
    <xdr:sp macro="" textlink="">
      <xdr:nvSpPr>
        <xdr:cNvPr id="17" name="AutoShape 1">
          <a:extLst>
            <a:ext uri="{FF2B5EF4-FFF2-40B4-BE49-F238E27FC236}">
              <a16:creationId xmlns:a16="http://schemas.microsoft.com/office/drawing/2014/main" id="{681824A3-10DF-47BB-823A-14B75491939E}"/>
            </a:ext>
          </a:extLst>
        </xdr:cNvPr>
        <xdr:cNvSpPr>
          <a:spLocks noChangeAspect="1" noChangeArrowheads="1"/>
        </xdr:cNvSpPr>
      </xdr:nvSpPr>
      <xdr:spPr bwMode="auto">
        <a:xfrm>
          <a:off x="2359869" y="2970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12</xdr:row>
      <xdr:rowOff>0</xdr:rowOff>
    </xdr:from>
    <xdr:ext cx="304800" cy="304800"/>
    <xdr:sp macro="" textlink="">
      <xdr:nvSpPr>
        <xdr:cNvPr id="18" name="AutoShape 1">
          <a:extLst>
            <a:ext uri="{FF2B5EF4-FFF2-40B4-BE49-F238E27FC236}">
              <a16:creationId xmlns:a16="http://schemas.microsoft.com/office/drawing/2014/main" id="{E520A457-23E3-4BC8-A481-4EFF18CCC3D9}"/>
            </a:ext>
          </a:extLst>
        </xdr:cNvPr>
        <xdr:cNvSpPr>
          <a:spLocks noChangeAspect="1" noChangeArrowheads="1"/>
        </xdr:cNvSpPr>
      </xdr:nvSpPr>
      <xdr:spPr bwMode="auto">
        <a:xfrm>
          <a:off x="2424445" y="2970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19" name="AutoShape 1">
          <a:extLst>
            <a:ext uri="{FF2B5EF4-FFF2-40B4-BE49-F238E27FC236}">
              <a16:creationId xmlns:a16="http://schemas.microsoft.com/office/drawing/2014/main" id="{690EC214-90F3-44C8-991E-EB16552B44D7}"/>
            </a:ext>
          </a:extLst>
        </xdr:cNvPr>
        <xdr:cNvSpPr>
          <a:spLocks noChangeAspect="1" noChangeArrowheads="1"/>
        </xdr:cNvSpPr>
      </xdr:nvSpPr>
      <xdr:spPr bwMode="auto">
        <a:xfrm>
          <a:off x="2359869" y="31830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87661BBA-2298-4381-8700-981E1DBC8730}"/>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68F8DAFF-1772-4299-8B9A-0DD879B9B837}"/>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4F5F4CD4-70B6-4165-848D-AF8E2FF422E8}"/>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73A37ECF-5C57-427C-8C76-43BECE4D251A}"/>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AD6A4156-8D01-41B5-907C-9F803FB22222}"/>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0</xdr:rowOff>
    </xdr:from>
    <xdr:ext cx="304800" cy="304800"/>
    <xdr:sp macro="" textlink="">
      <xdr:nvSpPr>
        <xdr:cNvPr id="7" name="AutoShape 1">
          <a:extLst>
            <a:ext uri="{FF2B5EF4-FFF2-40B4-BE49-F238E27FC236}">
              <a16:creationId xmlns:a16="http://schemas.microsoft.com/office/drawing/2014/main" id="{E9D215D2-A0D1-46A3-88DF-05D6314758C7}"/>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8" name="AutoShape 1">
          <a:extLst>
            <a:ext uri="{FF2B5EF4-FFF2-40B4-BE49-F238E27FC236}">
              <a16:creationId xmlns:a16="http://schemas.microsoft.com/office/drawing/2014/main" id="{A5B62872-8323-454C-9FC8-3432511737FC}"/>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9" name="AutoShape 1">
          <a:extLst>
            <a:ext uri="{FF2B5EF4-FFF2-40B4-BE49-F238E27FC236}">
              <a16:creationId xmlns:a16="http://schemas.microsoft.com/office/drawing/2014/main" id="{786824D3-4CD7-47C3-A845-D66931F9D8CD}"/>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10" name="AutoShape 1">
          <a:extLst>
            <a:ext uri="{FF2B5EF4-FFF2-40B4-BE49-F238E27FC236}">
              <a16:creationId xmlns:a16="http://schemas.microsoft.com/office/drawing/2014/main" id="{EAF7DA64-07B8-45C1-BD21-6D7700E686B4}"/>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11" name="AutoShape 1">
          <a:extLst>
            <a:ext uri="{FF2B5EF4-FFF2-40B4-BE49-F238E27FC236}">
              <a16:creationId xmlns:a16="http://schemas.microsoft.com/office/drawing/2014/main" id="{23B7C9F0-9267-4AAA-A2F2-F85A5844C4B6}"/>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8</xdr:row>
      <xdr:rowOff>0</xdr:rowOff>
    </xdr:from>
    <xdr:ext cx="304800" cy="304800"/>
    <xdr:sp macro="" textlink="">
      <xdr:nvSpPr>
        <xdr:cNvPr id="12" name="AutoShape 1">
          <a:extLst>
            <a:ext uri="{FF2B5EF4-FFF2-40B4-BE49-F238E27FC236}">
              <a16:creationId xmlns:a16="http://schemas.microsoft.com/office/drawing/2014/main" id="{CDDB983F-E3F8-4204-BA28-194BF522255E}"/>
            </a:ext>
          </a:extLst>
        </xdr:cNvPr>
        <xdr:cNvSpPr>
          <a:spLocks noChangeAspect="1" noChangeArrowheads="1"/>
        </xdr:cNvSpPr>
      </xdr:nvSpPr>
      <xdr:spPr bwMode="auto">
        <a:xfrm>
          <a:off x="2359869" y="252713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10</xdr:row>
      <xdr:rowOff>0</xdr:rowOff>
    </xdr:from>
    <xdr:ext cx="304800" cy="304800"/>
    <xdr:sp macro="" textlink="">
      <xdr:nvSpPr>
        <xdr:cNvPr id="13" name="AutoShape 1">
          <a:extLst>
            <a:ext uri="{FF2B5EF4-FFF2-40B4-BE49-F238E27FC236}">
              <a16:creationId xmlns:a16="http://schemas.microsoft.com/office/drawing/2014/main" id="{7811C4F9-8331-4114-82B8-E061A7D8D150}"/>
            </a:ext>
          </a:extLst>
        </xdr:cNvPr>
        <xdr:cNvSpPr>
          <a:spLocks noChangeAspect="1" noChangeArrowheads="1"/>
        </xdr:cNvSpPr>
      </xdr:nvSpPr>
      <xdr:spPr bwMode="auto">
        <a:xfrm>
          <a:off x="2359869" y="2970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10</xdr:row>
      <xdr:rowOff>0</xdr:rowOff>
    </xdr:from>
    <xdr:ext cx="304800" cy="304800"/>
    <xdr:sp macro="" textlink="">
      <xdr:nvSpPr>
        <xdr:cNvPr id="14" name="AutoShape 1">
          <a:extLst>
            <a:ext uri="{FF2B5EF4-FFF2-40B4-BE49-F238E27FC236}">
              <a16:creationId xmlns:a16="http://schemas.microsoft.com/office/drawing/2014/main" id="{209ED9E8-0086-4A91-B676-E3D4A3F84A91}"/>
            </a:ext>
          </a:extLst>
        </xdr:cNvPr>
        <xdr:cNvSpPr>
          <a:spLocks noChangeAspect="1" noChangeArrowheads="1"/>
        </xdr:cNvSpPr>
      </xdr:nvSpPr>
      <xdr:spPr bwMode="auto">
        <a:xfrm>
          <a:off x="2359869" y="2970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10</xdr:row>
      <xdr:rowOff>0</xdr:rowOff>
    </xdr:from>
    <xdr:ext cx="304800" cy="304800"/>
    <xdr:sp macro="" textlink="">
      <xdr:nvSpPr>
        <xdr:cNvPr id="15" name="AutoShape 1">
          <a:extLst>
            <a:ext uri="{FF2B5EF4-FFF2-40B4-BE49-F238E27FC236}">
              <a16:creationId xmlns:a16="http://schemas.microsoft.com/office/drawing/2014/main" id="{C5963B69-9DDB-4D33-BAA0-BC7F72DFA510}"/>
            </a:ext>
          </a:extLst>
        </xdr:cNvPr>
        <xdr:cNvSpPr>
          <a:spLocks noChangeAspect="1" noChangeArrowheads="1"/>
        </xdr:cNvSpPr>
      </xdr:nvSpPr>
      <xdr:spPr bwMode="auto">
        <a:xfrm>
          <a:off x="2424445" y="297083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11</xdr:row>
      <xdr:rowOff>0</xdr:rowOff>
    </xdr:from>
    <xdr:ext cx="304800" cy="304800"/>
    <xdr:sp macro="" textlink="">
      <xdr:nvSpPr>
        <xdr:cNvPr id="16" name="AutoShape 1">
          <a:extLst>
            <a:ext uri="{FF2B5EF4-FFF2-40B4-BE49-F238E27FC236}">
              <a16:creationId xmlns:a16="http://schemas.microsoft.com/office/drawing/2014/main" id="{8F44E9E3-63AB-483F-9AA0-2A42A9EEEF7C}"/>
            </a:ext>
          </a:extLst>
        </xdr:cNvPr>
        <xdr:cNvSpPr>
          <a:spLocks noChangeAspect="1" noChangeArrowheads="1"/>
        </xdr:cNvSpPr>
      </xdr:nvSpPr>
      <xdr:spPr bwMode="auto">
        <a:xfrm>
          <a:off x="2359869" y="31830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217A5B3F-E15E-45CF-8F42-B43EAF9AE1DB}"/>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BDC7AF13-D218-4A31-8A58-A43BE9E1B577}"/>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A4B86D67-851A-4DB4-8024-4ED3010B02C2}"/>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72F4D5D6-3D9A-4D55-876A-A3314ADEAF48}"/>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FDBDCDAD-78BA-48B4-9A32-FF7E1492F10D}"/>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0</xdr:rowOff>
    </xdr:from>
    <xdr:ext cx="304800" cy="304800"/>
    <xdr:sp macro="" textlink="">
      <xdr:nvSpPr>
        <xdr:cNvPr id="7" name="AutoShape 1">
          <a:extLst>
            <a:ext uri="{FF2B5EF4-FFF2-40B4-BE49-F238E27FC236}">
              <a16:creationId xmlns:a16="http://schemas.microsoft.com/office/drawing/2014/main" id="{3E1FF03A-3783-4AE7-A8B5-27DD3B3EC26F}"/>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8" name="AutoShape 1">
          <a:extLst>
            <a:ext uri="{FF2B5EF4-FFF2-40B4-BE49-F238E27FC236}">
              <a16:creationId xmlns:a16="http://schemas.microsoft.com/office/drawing/2014/main" id="{F533AC60-7B57-4501-91FC-A85CEAACFFD2}"/>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9" name="AutoShape 1">
          <a:extLst>
            <a:ext uri="{FF2B5EF4-FFF2-40B4-BE49-F238E27FC236}">
              <a16:creationId xmlns:a16="http://schemas.microsoft.com/office/drawing/2014/main" id="{330E6EB9-6266-4425-B575-76035C3CAD5D}"/>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10" name="AutoShape 1">
          <a:extLst>
            <a:ext uri="{FF2B5EF4-FFF2-40B4-BE49-F238E27FC236}">
              <a16:creationId xmlns:a16="http://schemas.microsoft.com/office/drawing/2014/main" id="{CB56DE84-E4D5-4265-80E9-47A81ADAF651}"/>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11" name="AutoShape 1">
          <a:extLst>
            <a:ext uri="{FF2B5EF4-FFF2-40B4-BE49-F238E27FC236}">
              <a16:creationId xmlns:a16="http://schemas.microsoft.com/office/drawing/2014/main" id="{AE10D4D4-1DDB-42A6-A2C9-286F501468B2}"/>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4BCB72BC-67E5-4788-A117-C9B2540FEFC7}"/>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10CA41AE-5740-4316-BF3B-7C6AD08DEA23}"/>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676DA471-1CD7-451D-8F2A-B74B9F50EC8B}"/>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57E74FAC-F419-4F6B-B839-47DAD9EE7F9F}"/>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DFE218D4-0DDF-40B3-B7D5-5FCAC3584393}"/>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0</xdr:rowOff>
    </xdr:from>
    <xdr:ext cx="304800" cy="304800"/>
    <xdr:sp macro="" textlink="">
      <xdr:nvSpPr>
        <xdr:cNvPr id="7" name="AutoShape 1">
          <a:extLst>
            <a:ext uri="{FF2B5EF4-FFF2-40B4-BE49-F238E27FC236}">
              <a16:creationId xmlns:a16="http://schemas.microsoft.com/office/drawing/2014/main" id="{DC0D9A41-830A-4CF5-9B99-835C2369BA3C}"/>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23</xdr:row>
      <xdr:rowOff>0</xdr:rowOff>
    </xdr:from>
    <xdr:ext cx="304800" cy="304800"/>
    <xdr:sp macro="" textlink="">
      <xdr:nvSpPr>
        <xdr:cNvPr id="8" name="AutoShape 1">
          <a:extLst>
            <a:ext uri="{FF2B5EF4-FFF2-40B4-BE49-F238E27FC236}">
              <a16:creationId xmlns:a16="http://schemas.microsoft.com/office/drawing/2014/main" id="{D1BC850C-B593-435B-B86E-A1CF905E7433}"/>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23</xdr:row>
      <xdr:rowOff>0</xdr:rowOff>
    </xdr:from>
    <xdr:ext cx="304800" cy="304800"/>
    <xdr:sp macro="" textlink="">
      <xdr:nvSpPr>
        <xdr:cNvPr id="9" name="AutoShape 1">
          <a:extLst>
            <a:ext uri="{FF2B5EF4-FFF2-40B4-BE49-F238E27FC236}">
              <a16:creationId xmlns:a16="http://schemas.microsoft.com/office/drawing/2014/main" id="{801A4668-2D87-4EA8-9676-9B62317F87A0}"/>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23</xdr:row>
      <xdr:rowOff>0</xdr:rowOff>
    </xdr:from>
    <xdr:ext cx="304800" cy="304800"/>
    <xdr:sp macro="" textlink="">
      <xdr:nvSpPr>
        <xdr:cNvPr id="10" name="AutoShape 1">
          <a:extLst>
            <a:ext uri="{FF2B5EF4-FFF2-40B4-BE49-F238E27FC236}">
              <a16:creationId xmlns:a16="http://schemas.microsoft.com/office/drawing/2014/main" id="{ACA840DD-B0B3-46CB-B845-D8BD992806D2}"/>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23</xdr:row>
      <xdr:rowOff>0</xdr:rowOff>
    </xdr:from>
    <xdr:ext cx="304800" cy="304800"/>
    <xdr:sp macro="" textlink="">
      <xdr:nvSpPr>
        <xdr:cNvPr id="11" name="AutoShape 1">
          <a:extLst>
            <a:ext uri="{FF2B5EF4-FFF2-40B4-BE49-F238E27FC236}">
              <a16:creationId xmlns:a16="http://schemas.microsoft.com/office/drawing/2014/main" id="{A4A7D595-A6DD-4D16-A456-151C642808C1}"/>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88D1F445-0241-4AFF-BDF5-451FBCCA639B}"/>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AEA2AC84-973B-431B-B01B-054491BD56CE}"/>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921E99CC-A263-411E-9B01-74AC0AF7F2DA}"/>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516E468C-9252-4943-AC68-2E7349B59B5B}"/>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4701ED84-7CB6-4468-9EBC-7E1E9235C9EC}"/>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25</xdr:row>
      <xdr:rowOff>0</xdr:rowOff>
    </xdr:from>
    <xdr:ext cx="304800" cy="304800"/>
    <xdr:sp macro="" textlink="">
      <xdr:nvSpPr>
        <xdr:cNvPr id="7" name="AutoShape 1">
          <a:extLst>
            <a:ext uri="{FF2B5EF4-FFF2-40B4-BE49-F238E27FC236}">
              <a16:creationId xmlns:a16="http://schemas.microsoft.com/office/drawing/2014/main" id="{3A351206-6D44-4384-AEF9-A44A6030CF97}"/>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25</xdr:row>
      <xdr:rowOff>0</xdr:rowOff>
    </xdr:from>
    <xdr:ext cx="304800" cy="304800"/>
    <xdr:sp macro="" textlink="">
      <xdr:nvSpPr>
        <xdr:cNvPr id="8" name="AutoShape 1">
          <a:extLst>
            <a:ext uri="{FF2B5EF4-FFF2-40B4-BE49-F238E27FC236}">
              <a16:creationId xmlns:a16="http://schemas.microsoft.com/office/drawing/2014/main" id="{1AC15054-888E-47EF-A2F6-AC0FFD9904CB}"/>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25</xdr:row>
      <xdr:rowOff>0</xdr:rowOff>
    </xdr:from>
    <xdr:ext cx="304800" cy="304800"/>
    <xdr:sp macro="" textlink="">
      <xdr:nvSpPr>
        <xdr:cNvPr id="9" name="AutoShape 1">
          <a:extLst>
            <a:ext uri="{FF2B5EF4-FFF2-40B4-BE49-F238E27FC236}">
              <a16:creationId xmlns:a16="http://schemas.microsoft.com/office/drawing/2014/main" id="{C6602F6E-6396-4721-BB0E-F87377321469}"/>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25</xdr:row>
      <xdr:rowOff>0</xdr:rowOff>
    </xdr:from>
    <xdr:ext cx="304800" cy="304800"/>
    <xdr:sp macro="" textlink="">
      <xdr:nvSpPr>
        <xdr:cNvPr id="10" name="AutoShape 1">
          <a:extLst>
            <a:ext uri="{FF2B5EF4-FFF2-40B4-BE49-F238E27FC236}">
              <a16:creationId xmlns:a16="http://schemas.microsoft.com/office/drawing/2014/main" id="{01CB3F1A-3740-4F7E-84E2-DD747191B6A3}"/>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25</xdr:row>
      <xdr:rowOff>0</xdr:rowOff>
    </xdr:from>
    <xdr:ext cx="304800" cy="304800"/>
    <xdr:sp macro="" textlink="">
      <xdr:nvSpPr>
        <xdr:cNvPr id="11" name="AutoShape 1">
          <a:extLst>
            <a:ext uri="{FF2B5EF4-FFF2-40B4-BE49-F238E27FC236}">
              <a16:creationId xmlns:a16="http://schemas.microsoft.com/office/drawing/2014/main" id="{A9C01439-6BEB-440D-A6B3-254BB216013F}"/>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CEC91EFE-275A-4BB3-B5BA-1625BD033DA2}"/>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B4C7E1B5-FD2B-4D91-82AE-602C6660C5E5}"/>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DEEF009F-C2B2-4BA6-9A45-2D05B54AF030}"/>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C5C7D192-71F5-4FB8-B7CD-249923E593C1}"/>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7D272925-C65C-48F9-BE3A-AF04A2A7302D}"/>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28</xdr:row>
      <xdr:rowOff>0</xdr:rowOff>
    </xdr:from>
    <xdr:ext cx="304800" cy="304800"/>
    <xdr:sp macro="" textlink="">
      <xdr:nvSpPr>
        <xdr:cNvPr id="7" name="AutoShape 1">
          <a:extLst>
            <a:ext uri="{FF2B5EF4-FFF2-40B4-BE49-F238E27FC236}">
              <a16:creationId xmlns:a16="http://schemas.microsoft.com/office/drawing/2014/main" id="{005AD5DF-A671-460B-82AE-9EF46A9DBCF5}"/>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28</xdr:row>
      <xdr:rowOff>0</xdr:rowOff>
    </xdr:from>
    <xdr:ext cx="304800" cy="304800"/>
    <xdr:sp macro="" textlink="">
      <xdr:nvSpPr>
        <xdr:cNvPr id="8" name="AutoShape 1">
          <a:extLst>
            <a:ext uri="{FF2B5EF4-FFF2-40B4-BE49-F238E27FC236}">
              <a16:creationId xmlns:a16="http://schemas.microsoft.com/office/drawing/2014/main" id="{DF32993B-29E5-48A3-A8BD-A8F950FCA669}"/>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28</xdr:row>
      <xdr:rowOff>0</xdr:rowOff>
    </xdr:from>
    <xdr:ext cx="304800" cy="304800"/>
    <xdr:sp macro="" textlink="">
      <xdr:nvSpPr>
        <xdr:cNvPr id="9" name="AutoShape 1">
          <a:extLst>
            <a:ext uri="{FF2B5EF4-FFF2-40B4-BE49-F238E27FC236}">
              <a16:creationId xmlns:a16="http://schemas.microsoft.com/office/drawing/2014/main" id="{692AF72B-2353-49FE-8225-79BDABBD2901}"/>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28</xdr:row>
      <xdr:rowOff>0</xdr:rowOff>
    </xdr:from>
    <xdr:ext cx="304800" cy="304800"/>
    <xdr:sp macro="" textlink="">
      <xdr:nvSpPr>
        <xdr:cNvPr id="10" name="AutoShape 1">
          <a:extLst>
            <a:ext uri="{FF2B5EF4-FFF2-40B4-BE49-F238E27FC236}">
              <a16:creationId xmlns:a16="http://schemas.microsoft.com/office/drawing/2014/main" id="{C7B6CC3D-AB99-45F7-B45E-C13513BF81AA}"/>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28</xdr:row>
      <xdr:rowOff>0</xdr:rowOff>
    </xdr:from>
    <xdr:ext cx="304800" cy="304800"/>
    <xdr:sp macro="" textlink="">
      <xdr:nvSpPr>
        <xdr:cNvPr id="11" name="AutoShape 1">
          <a:extLst>
            <a:ext uri="{FF2B5EF4-FFF2-40B4-BE49-F238E27FC236}">
              <a16:creationId xmlns:a16="http://schemas.microsoft.com/office/drawing/2014/main" id="{5CC4AECB-5860-40B4-B1E0-3DE3C48F7F4D}"/>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BCE4A35E-9C88-41D3-8825-1833607FA573}"/>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199DAE27-F814-4ACE-B744-601A187056F7}"/>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70EAE7EB-F224-4366-A9CE-52E83AA9D0A7}"/>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A1CFA30A-BAC3-4851-8F50-BA2D46ACA5CF}"/>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405F991A-CC37-4B5A-AE66-0C65C6B423B0}"/>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25</xdr:row>
      <xdr:rowOff>0</xdr:rowOff>
    </xdr:from>
    <xdr:ext cx="304800" cy="304800"/>
    <xdr:sp macro="" textlink="">
      <xdr:nvSpPr>
        <xdr:cNvPr id="7" name="AutoShape 1">
          <a:extLst>
            <a:ext uri="{FF2B5EF4-FFF2-40B4-BE49-F238E27FC236}">
              <a16:creationId xmlns:a16="http://schemas.microsoft.com/office/drawing/2014/main" id="{FA00D4B2-6E5E-405A-9D34-F4C16D7B4537}"/>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25</xdr:row>
      <xdr:rowOff>0</xdr:rowOff>
    </xdr:from>
    <xdr:ext cx="304800" cy="304800"/>
    <xdr:sp macro="" textlink="">
      <xdr:nvSpPr>
        <xdr:cNvPr id="8" name="AutoShape 1">
          <a:extLst>
            <a:ext uri="{FF2B5EF4-FFF2-40B4-BE49-F238E27FC236}">
              <a16:creationId xmlns:a16="http://schemas.microsoft.com/office/drawing/2014/main" id="{E75092A3-742B-47E2-94E2-0D9F403020AF}"/>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25</xdr:row>
      <xdr:rowOff>0</xdr:rowOff>
    </xdr:from>
    <xdr:ext cx="304800" cy="304800"/>
    <xdr:sp macro="" textlink="">
      <xdr:nvSpPr>
        <xdr:cNvPr id="9" name="AutoShape 1">
          <a:extLst>
            <a:ext uri="{FF2B5EF4-FFF2-40B4-BE49-F238E27FC236}">
              <a16:creationId xmlns:a16="http://schemas.microsoft.com/office/drawing/2014/main" id="{066A147C-4B4F-44BF-BE90-BC19ADEBF9EE}"/>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25</xdr:row>
      <xdr:rowOff>0</xdr:rowOff>
    </xdr:from>
    <xdr:ext cx="304800" cy="304800"/>
    <xdr:sp macro="" textlink="">
      <xdr:nvSpPr>
        <xdr:cNvPr id="10" name="AutoShape 1">
          <a:extLst>
            <a:ext uri="{FF2B5EF4-FFF2-40B4-BE49-F238E27FC236}">
              <a16:creationId xmlns:a16="http://schemas.microsoft.com/office/drawing/2014/main" id="{3EA880FD-4DE9-4A76-87F5-7D351DF53609}"/>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25</xdr:row>
      <xdr:rowOff>0</xdr:rowOff>
    </xdr:from>
    <xdr:ext cx="304800" cy="304800"/>
    <xdr:sp macro="" textlink="">
      <xdr:nvSpPr>
        <xdr:cNvPr id="11" name="AutoShape 1">
          <a:extLst>
            <a:ext uri="{FF2B5EF4-FFF2-40B4-BE49-F238E27FC236}">
              <a16:creationId xmlns:a16="http://schemas.microsoft.com/office/drawing/2014/main" id="{3A45B854-B6A1-4E42-9659-BA74624FE521}"/>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DCDD4E97-733F-45A3-A8D3-66E12A1149CE}"/>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B74026E8-507C-4804-8E02-65694751DB99}"/>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09046B30-5A3D-4FD5-A187-B35CA8054A9F}"/>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5CACFE9F-75AD-4E02-A4EC-62D5515228CA}"/>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C372797C-9BF5-4170-8CA3-F7E8E01621B7}"/>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0</xdr:rowOff>
    </xdr:from>
    <xdr:ext cx="304800" cy="304800"/>
    <xdr:sp macro="" textlink="">
      <xdr:nvSpPr>
        <xdr:cNvPr id="7" name="AutoShape 1">
          <a:extLst>
            <a:ext uri="{FF2B5EF4-FFF2-40B4-BE49-F238E27FC236}">
              <a16:creationId xmlns:a16="http://schemas.microsoft.com/office/drawing/2014/main" id="{E664A7E2-EA07-41A5-837A-31D7B827266D}"/>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8" name="AutoShape 1">
          <a:extLst>
            <a:ext uri="{FF2B5EF4-FFF2-40B4-BE49-F238E27FC236}">
              <a16:creationId xmlns:a16="http://schemas.microsoft.com/office/drawing/2014/main" id="{87CA8540-3F9E-4F43-920A-D839E07F3A18}"/>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9" name="AutoShape 1">
          <a:extLst>
            <a:ext uri="{FF2B5EF4-FFF2-40B4-BE49-F238E27FC236}">
              <a16:creationId xmlns:a16="http://schemas.microsoft.com/office/drawing/2014/main" id="{ED547E69-A373-49B6-858C-9A03F9CAF6E6}"/>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10" name="AutoShape 1">
          <a:extLst>
            <a:ext uri="{FF2B5EF4-FFF2-40B4-BE49-F238E27FC236}">
              <a16:creationId xmlns:a16="http://schemas.microsoft.com/office/drawing/2014/main" id="{E0612F5C-E31E-42C8-84B9-265AD11B39AB}"/>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22</xdr:row>
      <xdr:rowOff>0</xdr:rowOff>
    </xdr:from>
    <xdr:ext cx="304800" cy="304800"/>
    <xdr:sp macro="" textlink="">
      <xdr:nvSpPr>
        <xdr:cNvPr id="11" name="AutoShape 1">
          <a:extLst>
            <a:ext uri="{FF2B5EF4-FFF2-40B4-BE49-F238E27FC236}">
              <a16:creationId xmlns:a16="http://schemas.microsoft.com/office/drawing/2014/main" id="{1ECA7887-C6B9-486A-9B6F-0718286889C0}"/>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D2842FA7-72FD-4C8F-AD0B-86E151F3432E}"/>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202EE320-BF2C-408C-9BC3-EFBF5011F74B}"/>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1551169E-C666-466C-9718-4BA64C8DFDB5}"/>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91570EC9-50C2-4CF9-91B3-82F33317EAF9}"/>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049E3981-6280-43E3-8F21-02EEA8BCAF9A}"/>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04800"/>
    <xdr:sp macro="" textlink="">
      <xdr:nvSpPr>
        <xdr:cNvPr id="7" name="AutoShape 1">
          <a:extLst>
            <a:ext uri="{FF2B5EF4-FFF2-40B4-BE49-F238E27FC236}">
              <a16:creationId xmlns:a16="http://schemas.microsoft.com/office/drawing/2014/main" id="{4D4E151A-71F6-407C-B9CC-C7F26F5411F4}"/>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31</xdr:row>
      <xdr:rowOff>0</xdr:rowOff>
    </xdr:from>
    <xdr:ext cx="304800" cy="304800"/>
    <xdr:sp macro="" textlink="">
      <xdr:nvSpPr>
        <xdr:cNvPr id="8" name="AutoShape 1">
          <a:extLst>
            <a:ext uri="{FF2B5EF4-FFF2-40B4-BE49-F238E27FC236}">
              <a16:creationId xmlns:a16="http://schemas.microsoft.com/office/drawing/2014/main" id="{417DD9FA-63B2-4820-B61E-A70A2181A7AD}"/>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31</xdr:row>
      <xdr:rowOff>0</xdr:rowOff>
    </xdr:from>
    <xdr:ext cx="304800" cy="304800"/>
    <xdr:sp macro="" textlink="">
      <xdr:nvSpPr>
        <xdr:cNvPr id="9" name="AutoShape 1">
          <a:extLst>
            <a:ext uri="{FF2B5EF4-FFF2-40B4-BE49-F238E27FC236}">
              <a16:creationId xmlns:a16="http://schemas.microsoft.com/office/drawing/2014/main" id="{BE4F4B51-D3FD-4E07-8EFE-E693857EB3DD}"/>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31</xdr:row>
      <xdr:rowOff>0</xdr:rowOff>
    </xdr:from>
    <xdr:ext cx="304800" cy="304800"/>
    <xdr:sp macro="" textlink="">
      <xdr:nvSpPr>
        <xdr:cNvPr id="10" name="AutoShape 1">
          <a:extLst>
            <a:ext uri="{FF2B5EF4-FFF2-40B4-BE49-F238E27FC236}">
              <a16:creationId xmlns:a16="http://schemas.microsoft.com/office/drawing/2014/main" id="{31C6D255-264C-4B52-9627-C3F1B41B3CEF}"/>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31</xdr:row>
      <xdr:rowOff>0</xdr:rowOff>
    </xdr:from>
    <xdr:ext cx="304800" cy="304800"/>
    <xdr:sp macro="" textlink="">
      <xdr:nvSpPr>
        <xdr:cNvPr id="11" name="AutoShape 1">
          <a:extLst>
            <a:ext uri="{FF2B5EF4-FFF2-40B4-BE49-F238E27FC236}">
              <a16:creationId xmlns:a16="http://schemas.microsoft.com/office/drawing/2014/main" id="{FEB0ACE3-F075-4370-8FE7-40F2958D4299}"/>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9FABA2D7-FCCE-46EC-BEEF-5C3724A0E3E3}"/>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FF267DD6-5484-451F-B1B6-6C55ADCB4F72}"/>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87D6246D-89C4-42F2-AA9F-D988E6E7704D}"/>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4FDD9ABD-7BFE-4954-89EC-C941DD81FF56}"/>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917D1D87-AA80-4B73-88F6-F6AF4ADD1170}"/>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33</xdr:row>
      <xdr:rowOff>0</xdr:rowOff>
    </xdr:from>
    <xdr:ext cx="304800" cy="304800"/>
    <xdr:sp macro="" textlink="">
      <xdr:nvSpPr>
        <xdr:cNvPr id="7" name="AutoShape 1">
          <a:extLst>
            <a:ext uri="{FF2B5EF4-FFF2-40B4-BE49-F238E27FC236}">
              <a16:creationId xmlns:a16="http://schemas.microsoft.com/office/drawing/2014/main" id="{5BC097F3-676F-4812-8059-BE97EC89103B}"/>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33</xdr:row>
      <xdr:rowOff>0</xdr:rowOff>
    </xdr:from>
    <xdr:ext cx="304800" cy="304800"/>
    <xdr:sp macro="" textlink="">
      <xdr:nvSpPr>
        <xdr:cNvPr id="8" name="AutoShape 1">
          <a:extLst>
            <a:ext uri="{FF2B5EF4-FFF2-40B4-BE49-F238E27FC236}">
              <a16:creationId xmlns:a16="http://schemas.microsoft.com/office/drawing/2014/main" id="{56162466-39EC-45C1-B075-6344CFD86BDD}"/>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33</xdr:row>
      <xdr:rowOff>0</xdr:rowOff>
    </xdr:from>
    <xdr:ext cx="304800" cy="304800"/>
    <xdr:sp macro="" textlink="">
      <xdr:nvSpPr>
        <xdr:cNvPr id="9" name="AutoShape 1">
          <a:extLst>
            <a:ext uri="{FF2B5EF4-FFF2-40B4-BE49-F238E27FC236}">
              <a16:creationId xmlns:a16="http://schemas.microsoft.com/office/drawing/2014/main" id="{A86F926C-620B-4F96-AD04-337EA02B4162}"/>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33</xdr:row>
      <xdr:rowOff>0</xdr:rowOff>
    </xdr:from>
    <xdr:ext cx="304800" cy="304800"/>
    <xdr:sp macro="" textlink="">
      <xdr:nvSpPr>
        <xdr:cNvPr id="10" name="AutoShape 1">
          <a:extLst>
            <a:ext uri="{FF2B5EF4-FFF2-40B4-BE49-F238E27FC236}">
              <a16:creationId xmlns:a16="http://schemas.microsoft.com/office/drawing/2014/main" id="{9B502432-8CA3-4F4D-8FD3-B431AA2B740C}"/>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33</xdr:row>
      <xdr:rowOff>0</xdr:rowOff>
    </xdr:from>
    <xdr:ext cx="304800" cy="304800"/>
    <xdr:sp macro="" textlink="">
      <xdr:nvSpPr>
        <xdr:cNvPr id="11" name="AutoShape 1">
          <a:extLst>
            <a:ext uri="{FF2B5EF4-FFF2-40B4-BE49-F238E27FC236}">
              <a16:creationId xmlns:a16="http://schemas.microsoft.com/office/drawing/2014/main" id="{5724EBA5-1432-4135-97E2-D5C7CD775CE1}"/>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6350</xdr:colOff>
      <xdr:row>11</xdr:row>
      <xdr:rowOff>0</xdr:rowOff>
    </xdr:from>
    <xdr:ext cx="304800" cy="304800"/>
    <xdr:sp macro="" textlink="">
      <xdr:nvSpPr>
        <xdr:cNvPr id="2" name="AutoShape 1">
          <a:extLst>
            <a:ext uri="{FF2B5EF4-FFF2-40B4-BE49-F238E27FC236}">
              <a16:creationId xmlns:a16="http://schemas.microsoft.com/office/drawing/2014/main" id="{21AB5854-744F-4DDE-A3D5-71B03CEB58B6}"/>
            </a:ext>
          </a:extLst>
        </xdr:cNvPr>
        <xdr:cNvSpPr>
          <a:spLocks noChangeAspect="1" noChangeArrowheads="1"/>
        </xdr:cNvSpPr>
      </xdr:nvSpPr>
      <xdr:spPr bwMode="auto">
        <a:xfrm>
          <a:off x="236093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3" name="AutoShape 1">
          <a:extLst>
            <a:ext uri="{FF2B5EF4-FFF2-40B4-BE49-F238E27FC236}">
              <a16:creationId xmlns:a16="http://schemas.microsoft.com/office/drawing/2014/main" id="{51ADE151-E7D1-4719-B267-9610F272375E}"/>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13</xdr:row>
      <xdr:rowOff>0</xdr:rowOff>
    </xdr:from>
    <xdr:ext cx="304800" cy="304800"/>
    <xdr:sp macro="" textlink="">
      <xdr:nvSpPr>
        <xdr:cNvPr id="4" name="AutoShape 1">
          <a:extLst>
            <a:ext uri="{FF2B5EF4-FFF2-40B4-BE49-F238E27FC236}">
              <a16:creationId xmlns:a16="http://schemas.microsoft.com/office/drawing/2014/main" id="{9AF2D032-2056-483F-B26B-E37E12AE32DC}"/>
            </a:ext>
          </a:extLst>
        </xdr:cNvPr>
        <xdr:cNvSpPr>
          <a:spLocks noChangeAspect="1" noChangeArrowheads="1"/>
        </xdr:cNvSpPr>
      </xdr:nvSpPr>
      <xdr:spPr bwMode="auto">
        <a:xfrm>
          <a:off x="2360930"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70926</xdr:colOff>
      <xdr:row>13</xdr:row>
      <xdr:rowOff>0</xdr:rowOff>
    </xdr:from>
    <xdr:ext cx="304800" cy="304800"/>
    <xdr:sp macro="" textlink="">
      <xdr:nvSpPr>
        <xdr:cNvPr id="5" name="AutoShape 1">
          <a:extLst>
            <a:ext uri="{FF2B5EF4-FFF2-40B4-BE49-F238E27FC236}">
              <a16:creationId xmlns:a16="http://schemas.microsoft.com/office/drawing/2014/main" id="{DA6CCE9F-FC18-49D1-9256-0CB6A6832DC3}"/>
            </a:ext>
          </a:extLst>
        </xdr:cNvPr>
        <xdr:cNvSpPr>
          <a:spLocks noChangeAspect="1" noChangeArrowheads="1"/>
        </xdr:cNvSpPr>
      </xdr:nvSpPr>
      <xdr:spPr bwMode="auto">
        <a:xfrm>
          <a:off x="2425506" y="294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14</xdr:row>
      <xdr:rowOff>0</xdr:rowOff>
    </xdr:from>
    <xdr:ext cx="304800" cy="304800"/>
    <xdr:sp macro="" textlink="">
      <xdr:nvSpPr>
        <xdr:cNvPr id="6" name="AutoShape 1">
          <a:extLst>
            <a:ext uri="{FF2B5EF4-FFF2-40B4-BE49-F238E27FC236}">
              <a16:creationId xmlns:a16="http://schemas.microsoft.com/office/drawing/2014/main" id="{91FAD10F-CF6E-4957-B7DE-E585C46DE1DD}"/>
            </a:ext>
          </a:extLst>
        </xdr:cNvPr>
        <xdr:cNvSpPr>
          <a:spLocks noChangeAspect="1" noChangeArrowheads="1"/>
        </xdr:cNvSpPr>
      </xdr:nvSpPr>
      <xdr:spPr bwMode="auto">
        <a:xfrm>
          <a:off x="2360930" y="316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35</xdr:row>
      <xdr:rowOff>0</xdr:rowOff>
    </xdr:from>
    <xdr:ext cx="304800" cy="304800"/>
    <xdr:sp macro="" textlink="">
      <xdr:nvSpPr>
        <xdr:cNvPr id="7" name="AutoShape 1">
          <a:extLst>
            <a:ext uri="{FF2B5EF4-FFF2-40B4-BE49-F238E27FC236}">
              <a16:creationId xmlns:a16="http://schemas.microsoft.com/office/drawing/2014/main" id="{7ECD54AE-2F6A-451E-A814-F9E3FF3406B9}"/>
            </a:ext>
          </a:extLst>
        </xdr:cNvPr>
        <xdr:cNvSpPr>
          <a:spLocks noChangeAspect="1" noChangeArrowheads="1"/>
        </xdr:cNvSpPr>
      </xdr:nvSpPr>
      <xdr:spPr bwMode="auto">
        <a:xfrm>
          <a:off x="235458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35</xdr:row>
      <xdr:rowOff>0</xdr:rowOff>
    </xdr:from>
    <xdr:ext cx="304800" cy="304800"/>
    <xdr:sp macro="" textlink="">
      <xdr:nvSpPr>
        <xdr:cNvPr id="8" name="AutoShape 1">
          <a:extLst>
            <a:ext uri="{FF2B5EF4-FFF2-40B4-BE49-F238E27FC236}">
              <a16:creationId xmlns:a16="http://schemas.microsoft.com/office/drawing/2014/main" id="{9921F057-5352-48C6-922A-C859CF05E7E4}"/>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35</xdr:row>
      <xdr:rowOff>0</xdr:rowOff>
    </xdr:from>
    <xdr:ext cx="304800" cy="304800"/>
    <xdr:sp macro="" textlink="">
      <xdr:nvSpPr>
        <xdr:cNvPr id="9" name="AutoShape 1">
          <a:extLst>
            <a:ext uri="{FF2B5EF4-FFF2-40B4-BE49-F238E27FC236}">
              <a16:creationId xmlns:a16="http://schemas.microsoft.com/office/drawing/2014/main" id="{C03D36F0-7F32-41BB-9FD5-32E5E16B99D5}"/>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35</xdr:row>
      <xdr:rowOff>0</xdr:rowOff>
    </xdr:from>
    <xdr:ext cx="304800" cy="304800"/>
    <xdr:sp macro="" textlink="">
      <xdr:nvSpPr>
        <xdr:cNvPr id="10" name="AutoShape 1">
          <a:extLst>
            <a:ext uri="{FF2B5EF4-FFF2-40B4-BE49-F238E27FC236}">
              <a16:creationId xmlns:a16="http://schemas.microsoft.com/office/drawing/2014/main" id="{4B0DDA78-7D3D-4DC2-BAA6-ADB4B3D4CAA1}"/>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6350</xdr:colOff>
      <xdr:row>35</xdr:row>
      <xdr:rowOff>0</xdr:rowOff>
    </xdr:from>
    <xdr:ext cx="304800" cy="304800"/>
    <xdr:sp macro="" textlink="">
      <xdr:nvSpPr>
        <xdr:cNvPr id="11" name="AutoShape 1">
          <a:extLst>
            <a:ext uri="{FF2B5EF4-FFF2-40B4-BE49-F238E27FC236}">
              <a16:creationId xmlns:a16="http://schemas.microsoft.com/office/drawing/2014/main" id="{62D24DA7-EF42-430A-AA3E-DD0BFD7889F6}"/>
            </a:ext>
          </a:extLst>
        </xdr:cNvPr>
        <xdr:cNvSpPr>
          <a:spLocks noChangeAspect="1" noChangeArrowheads="1"/>
        </xdr:cNvSpPr>
      </xdr:nvSpPr>
      <xdr:spPr bwMode="auto">
        <a:xfrm>
          <a:off x="2360930" y="7216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3.xml><?xml version="1.0" encoding="utf-8"?>
<xdr:wsDr xmlns:xdr="http://schemas.openxmlformats.org/drawingml/2006/spreadsheetDrawing" xmlns:a="http://schemas.openxmlformats.org/drawingml/2006/main">
  <xdr:twoCellAnchor>
    <xdr:from>
      <xdr:col>1</xdr:col>
      <xdr:colOff>381000</xdr:colOff>
      <xdr:row>2</xdr:row>
      <xdr:rowOff>10027</xdr:rowOff>
    </xdr:from>
    <xdr:to>
      <xdr:col>2</xdr:col>
      <xdr:colOff>280737</xdr:colOff>
      <xdr:row>2</xdr:row>
      <xdr:rowOff>10027</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a:off x="681789" y="651711"/>
          <a:ext cx="11129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219075</xdr:colOff>
      <xdr:row>3</xdr:row>
      <xdr:rowOff>57150</xdr:rowOff>
    </xdr:from>
    <xdr:to>
      <xdr:col>25</xdr:col>
      <xdr:colOff>485775</xdr:colOff>
      <xdr:row>16</xdr:row>
      <xdr:rowOff>9525</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219075</xdr:colOff>
      <xdr:row>27</xdr:row>
      <xdr:rowOff>66675</xdr:rowOff>
    </xdr:from>
    <xdr:to>
      <xdr:col>25</xdr:col>
      <xdr:colOff>485775</xdr:colOff>
      <xdr:row>36</xdr:row>
      <xdr:rowOff>257175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219075</xdr:colOff>
      <xdr:row>41</xdr:row>
      <xdr:rowOff>133350</xdr:rowOff>
    </xdr:from>
    <xdr:to>
      <xdr:col>25</xdr:col>
      <xdr:colOff>485775</xdr:colOff>
      <xdr:row>51</xdr:row>
      <xdr:rowOff>323850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219075</xdr:colOff>
      <xdr:row>56</xdr:row>
      <xdr:rowOff>85725</xdr:rowOff>
    </xdr:from>
    <xdr:to>
      <xdr:col>25</xdr:col>
      <xdr:colOff>485775</xdr:colOff>
      <xdr:row>67</xdr:row>
      <xdr:rowOff>104775</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323850</xdr:colOff>
      <xdr:row>2</xdr:row>
      <xdr:rowOff>38100</xdr:rowOff>
    </xdr:from>
    <xdr:to>
      <xdr:col>5</xdr:col>
      <xdr:colOff>61950</xdr:colOff>
      <xdr:row>2</xdr:row>
      <xdr:rowOff>38100</xdr:rowOff>
    </xdr:to>
    <xdr:cxnSp macro="">
      <xdr:nvCxnSpPr>
        <xdr:cNvPr id="6" name="Straight Connector 5">
          <a:extLst>
            <a:ext uri="{FF2B5EF4-FFF2-40B4-BE49-F238E27FC236}">
              <a16:creationId xmlns:a16="http://schemas.microsoft.com/office/drawing/2014/main" id="{00000000-0008-0000-0200-000006000000}"/>
            </a:ext>
          </a:extLst>
        </xdr:cNvPr>
        <xdr:cNvCxnSpPr/>
      </xdr:nvCxnSpPr>
      <xdr:spPr>
        <a:xfrm>
          <a:off x="697230" y="464820"/>
          <a:ext cx="12316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152400</xdr:colOff>
      <xdr:row>2</xdr:row>
      <xdr:rowOff>38100</xdr:rowOff>
    </xdr:from>
    <xdr:to>
      <xdr:col>14</xdr:col>
      <xdr:colOff>394500</xdr:colOff>
      <xdr:row>2</xdr:row>
      <xdr:rowOff>38100</xdr:rowOff>
    </xdr:to>
    <xdr:cxnSp macro="">
      <xdr:nvCxnSpPr>
        <xdr:cNvPr id="7" name="Straight Connector 6">
          <a:extLst>
            <a:ext uri="{FF2B5EF4-FFF2-40B4-BE49-F238E27FC236}">
              <a16:creationId xmlns:a16="http://schemas.microsoft.com/office/drawing/2014/main" id="{00000000-0008-0000-0200-000007000000}"/>
            </a:ext>
          </a:extLst>
        </xdr:cNvPr>
        <xdr:cNvCxnSpPr/>
      </xdr:nvCxnSpPr>
      <xdr:spPr>
        <a:xfrm>
          <a:off x="3886200" y="464820"/>
          <a:ext cx="17356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17</xdr:col>
          <xdr:colOff>38100</xdr:colOff>
          <xdr:row>0</xdr:row>
          <xdr:rowOff>45720</xdr:rowOff>
        </xdr:from>
        <xdr:to>
          <xdr:col>19</xdr:col>
          <xdr:colOff>464820</xdr:colOff>
          <xdr:row>8</xdr:row>
          <xdr:rowOff>160020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73152" tIns="59436" rIns="73152" bIns="59436" anchor="ctr" upright="1"/>
            <a:lstStyle/>
            <a:p>
              <a:pPr algn="ctr" rtl="0">
                <a:defRPr sz="1000"/>
              </a:pPr>
              <a:r>
                <a:rPr lang="en-US" sz="2600" b="0" i="0" u="none" strike="noStrike" baseline="0">
                  <a:solidFill>
                    <a:srgbClr val="000000"/>
                  </a:solidFill>
                  <a:latin typeface="Roboto Black"/>
                  <a:ea typeface="Roboto Black"/>
                </a:rPr>
                <a:t>IN</a:t>
              </a:r>
            </a:p>
            <a:p>
              <a:pPr algn="ctr" rtl="0">
                <a:defRPr sz="1000"/>
              </a:pPr>
              <a:r>
                <a:rPr lang="en-US" sz="2600" b="0" i="0" u="none" strike="noStrike" baseline="0">
                  <a:solidFill>
                    <a:srgbClr val="000000"/>
                  </a:solidFill>
                  <a:latin typeface="Roboto Black"/>
                  <a:ea typeface="Roboto Black"/>
                </a:rPr>
                <a:t>2 TRANG</a:t>
              </a:r>
            </a:p>
            <a:p>
              <a:pPr algn="ctr" rtl="0">
                <a:defRPr sz="1000"/>
              </a:pPr>
              <a:r>
                <a:rPr lang="en-US" sz="2600" b="0" i="0" u="none" strike="noStrike" baseline="0">
                  <a:solidFill>
                    <a:srgbClr val="000000"/>
                  </a:solidFill>
                  <a:latin typeface="Roboto Black"/>
                  <a:ea typeface="Roboto Black"/>
                </a:rPr>
                <a:t>DAU TIEN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20</xdr:col>
          <xdr:colOff>480060</xdr:colOff>
          <xdr:row>0</xdr:row>
          <xdr:rowOff>45720</xdr:rowOff>
        </xdr:from>
        <xdr:to>
          <xdr:col>23</xdr:col>
          <xdr:colOff>220980</xdr:colOff>
          <xdr:row>8</xdr:row>
          <xdr:rowOff>160020</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ln w="9525">
              <a:miter lim="800000"/>
              <a:headEnd/>
              <a:tailEnd/>
            </a:ln>
          </xdr:spPr>
          <xdr:txBody>
            <a:bodyPr vertOverflow="clip" wrap="square" lIns="73152" tIns="59436" rIns="73152" bIns="59436" anchor="ctr" upright="1"/>
            <a:lstStyle/>
            <a:p>
              <a:pPr algn="ctr" rtl="0">
                <a:defRPr sz="1000"/>
              </a:pPr>
              <a:r>
                <a:rPr lang="en-US" sz="2600" b="0" i="0" u="none" strike="noStrike" baseline="0">
                  <a:solidFill>
                    <a:srgbClr val="000000"/>
                  </a:solidFill>
                  <a:latin typeface="Roboto Black"/>
                  <a:ea typeface="Roboto Black"/>
                </a:rPr>
                <a:t>XUAT</a:t>
              </a:r>
            </a:p>
            <a:p>
              <a:pPr algn="ctr" rtl="0">
                <a:defRPr sz="1000"/>
              </a:pPr>
              <a:r>
                <a:rPr lang="en-US" sz="2600" b="0" i="0" u="none" strike="noStrike" baseline="0">
                  <a:solidFill>
                    <a:srgbClr val="000000"/>
                  </a:solidFill>
                  <a:latin typeface="Roboto Black"/>
                  <a:ea typeface="Roboto Black"/>
                </a:rPr>
                <a:t>PDF</a:t>
              </a:r>
            </a:p>
            <a:p>
              <a:pPr algn="ctr" rtl="0">
                <a:defRPr sz="1000"/>
              </a:pPr>
              <a:r>
                <a:rPr lang="en-US" sz="2600" b="0" i="0" u="none" strike="noStrike" baseline="0">
                  <a:solidFill>
                    <a:srgbClr val="000000"/>
                  </a:solidFill>
                  <a:latin typeface="Roboto Black"/>
                  <a:ea typeface="Roboto Black"/>
                </a:rPr>
                <a:t>BIEU DO</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VNT/Desktop/DLC/Bang%20tong%20hop%20KSK%20Ph&#432;&#7899;c%20Ti&#7871;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TT"/>
      <sheetName val="BMI"/>
      <sheetName val="Viết tắt"/>
      <sheetName val="BIEU DO"/>
      <sheetName val="BTH"/>
      <sheetName val="1.1"/>
      <sheetName val="1.2"/>
      <sheetName val="1.3"/>
      <sheetName val="1.4"/>
      <sheetName val="1.5"/>
      <sheetName val="1.6"/>
      <sheetName val="2.1"/>
      <sheetName val="2.2"/>
      <sheetName val="2.3"/>
      <sheetName val="2.4"/>
      <sheetName val="2.5"/>
      <sheetName val="2.6"/>
      <sheetName val="3.1"/>
      <sheetName val="3.2"/>
      <sheetName val="3.3"/>
      <sheetName val="3.4"/>
      <sheetName val="3.5"/>
      <sheetName val="HSCK"/>
      <sheetName val="3.6"/>
      <sheetName val="4.1"/>
      <sheetName val="4.2"/>
      <sheetName val="4.3"/>
      <sheetName val="4.4"/>
      <sheetName val="4.5"/>
      <sheetName val="4.6"/>
      <sheetName val="5.1"/>
      <sheetName val="5.2"/>
      <sheetName val="5.3"/>
      <sheetName val="5.4"/>
      <sheetName val="5.5"/>
      <sheetName val="5.6"/>
      <sheetName val="Sheet1"/>
      <sheetName val="Bang tong hop KSK Phước Tiến"/>
    </sheetNames>
    <definedNames>
      <definedName name="In_2_trang_tong_hop"/>
      <definedName name="Xuat_PDF_bieu_do"/>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63EC-5324-411E-B546-FC7D41EE13E1}">
  <sheetPr>
    <tabColor rgb="FF92D050"/>
  </sheetPr>
  <dimension ref="A1:AK30"/>
  <sheetViews>
    <sheetView zoomScale="79" zoomScaleNormal="79" zoomScaleSheetLayoutView="100" workbookViewId="0">
      <pane ySplit="9" topLeftCell="A10" activePane="bottomLeft" state="frozen"/>
      <selection activeCell="T34" sqref="T34"/>
      <selection pane="bottomLeft" activeCell="E19" activeCellId="3" sqref="B13:C13 B19:C19 E13:F13 E19:F19"/>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208</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ht="16.8">
      <c r="A10" s="138">
        <v>1</v>
      </c>
      <c r="B10" s="139" t="s">
        <v>180</v>
      </c>
      <c r="C10" s="149" t="s">
        <v>157</v>
      </c>
      <c r="D10" s="141">
        <v>45780</v>
      </c>
      <c r="E10" s="142" t="s">
        <v>189</v>
      </c>
      <c r="F10" s="150"/>
      <c r="G10" s="144">
        <v>11.5</v>
      </c>
      <c r="H10" s="145" t="str">
        <f>IF(DATEDIF(D10,DATE($X$4,$W$4,$V$4),"m")&lt;=60,LOOKUP(2,1/(G10&gt;=INDEX(IF(E10="x",CNTT!$B$4:$E$64,CNTT!$F$4:$I$64),MATCH(DATEDIF(D10,DATE($X$4,$W$4,$V$4),"m"),CNTT!$A$4:$A$64,0),0)),CNTT!$B$3:$E$3),LOOKUP(2,1/(G10&gt;=INDEX(IF(E10="x",CNTT!$B$70:$E$93,CNTT!$F$70:$I$93),MATCH(DATEDIF(D10,DATE($X$4,$W$4,$V$4),"m"),CNTT!$A$70:$A$93,0),0)),CNTT!$B$69:$E$69))</f>
        <v>bt</v>
      </c>
      <c r="I10" s="145">
        <v>78</v>
      </c>
      <c r="J10" s="146" t="str">
        <f>IF(DATEDIF(D10,DATE($X$4,$W$4,$V$4),"m")&lt;=60,LOOKUP(2,1/(I10&gt;=INDEX(IF(E10="x",CCTT!$B$4:$E$64,CCTT!$F$4:$I$64),MATCH(DATEDIF(D10,DATE($X$4,$W$4,$V$4),"m"),CCTT!$A$4:$A$64,0),0)),CCTT!$B$3:$E$3),LOOKUP(2,1/(I10&gt;=INDEX(IF(E10="x",CCTT!$B$70:$E$93,CCTT!$F$70:$I$93),MATCH(DATEDIF(D10,DATE($X$4,$W$4,$V$4),"m"),CCTT!$A$70:$A$93,0),0)),CCTT!B$69:E$69))</f>
        <v>bt</v>
      </c>
      <c r="K10" s="146" t="s">
        <v>25</v>
      </c>
      <c r="L10" s="145" t="s">
        <v>22</v>
      </c>
      <c r="M10" s="145" t="s">
        <v>22</v>
      </c>
      <c r="N10" s="145" t="s">
        <v>22</v>
      </c>
      <c r="O10" s="145" t="s">
        <v>22</v>
      </c>
      <c r="P10" s="145" t="s">
        <v>22</v>
      </c>
      <c r="Q10" s="145" t="s">
        <v>22</v>
      </c>
      <c r="R10" s="147" t="s">
        <v>23</v>
      </c>
      <c r="S10" s="4" t="str">
        <f>PROPER(B10)</f>
        <v>Nguyễn Nhật</v>
      </c>
      <c r="T10" s="4">
        <f>DATEDIF(D10,DATE($X$4,$W$4,$V$4),"m")</f>
        <v>15</v>
      </c>
      <c r="U10" s="4">
        <f>G10/(I10/100)^2</f>
        <v>18.902038132807363</v>
      </c>
      <c r="W10" s="12"/>
      <c r="Y10" s="36">
        <f>COUNTIF(H10:H19,Y9)</f>
        <v>10</v>
      </c>
      <c r="Z10" s="36">
        <f>COUNTIF(H10:H19,Z9)</f>
        <v>0</v>
      </c>
      <c r="AA10" s="36">
        <f>COUNTIF(H10:H19,AA9)</f>
        <v>0</v>
      </c>
      <c r="AB10" s="36">
        <f>COUNTIF(J10:J19,AB9)</f>
        <v>10</v>
      </c>
      <c r="AC10" s="36">
        <f>COUNTIF(J10:J19,AC9)</f>
        <v>0</v>
      </c>
      <c r="AD10" s="36">
        <f>COUNTIF(J10:J19,AD9)</f>
        <v>0</v>
      </c>
      <c r="AE10" s="36">
        <f>COUNTIF(K10:K19,AE9)</f>
        <v>10</v>
      </c>
      <c r="AF10" s="36">
        <f>COUNTIF(K10:K19,AF9)</f>
        <v>0</v>
      </c>
      <c r="AG10" s="36">
        <f>COUNTIF(K10:K19,AG9)</f>
        <v>0</v>
      </c>
      <c r="AH10" s="36">
        <f>COUNTIF(K10:K19,AH9)</f>
        <v>0</v>
      </c>
      <c r="AI10" s="36">
        <f>COUNTIF(R10:R19,AI9)</f>
        <v>8</v>
      </c>
      <c r="AJ10" s="36">
        <f>COUNTIF(R10:R19,AJ9)</f>
        <v>2</v>
      </c>
      <c r="AK10" s="36">
        <f>COUNTIF(R10:R19,AK9)</f>
        <v>0</v>
      </c>
    </row>
    <row r="11" spans="1:37" s="137" customFormat="1" ht="16.8">
      <c r="A11" s="138">
        <v>2</v>
      </c>
      <c r="B11" s="139" t="s">
        <v>192</v>
      </c>
      <c r="C11" s="149" t="s">
        <v>193</v>
      </c>
      <c r="D11" s="151">
        <v>45865</v>
      </c>
      <c r="E11" s="142"/>
      <c r="F11" s="143" t="s">
        <v>189</v>
      </c>
      <c r="G11" s="144">
        <v>8.1999999999999993</v>
      </c>
      <c r="H11" s="145" t="str">
        <f>IF(DATEDIF(D11,DATE($X$4,$W$4,$V$4),"m")&lt;=60,LOOKUP(2,1/(G11&gt;=INDEX(IF(E11="x",CNTT!$B$4:$E$64,CNTT!$F$4:$I$64),MATCH(DATEDIF(D11,DATE($X$4,$W$4,$V$4),"m"),CNTT!$A$4:$A$64,0),0)),CNTT!$B$3:$E$3),LOOKUP(2,1/(G11&gt;=INDEX(IF(E11="x",CNTT!$B$70:$E$93,CNTT!$F$70:$I$93),MATCH(DATEDIF(D11,DATE($X$4,$W$4,$V$4),"m"),CNTT!$A$70:$A$93,0),0)),CNTT!$B$69:$E$69))</f>
        <v>bt</v>
      </c>
      <c r="I11" s="145">
        <v>73</v>
      </c>
      <c r="J11" s="146" t="str">
        <f>IF(DATEDIF(D11,DATE($X$4,$W$4,$V$4),"m")&lt;=60,LOOKUP(2,1/(I11&gt;=INDEX(IF(E11="x",CCTT!$B$4:$E$64,CCTT!$F$4:$I$64),MATCH(DATEDIF(D11,DATE($X$4,$W$4,$V$4),"m"),CCTT!$A$4:$A$64,0),0)),CCTT!$B$3:$E$3),LOOKUP(2,1/(I11&gt;=INDEX(IF(E11="x",CCTT!$B$70:$E$93,CCTT!$F$70:$I$93),MATCH(DATEDIF(D11,DATE($X$4,$W$4,$V$4),"m"),CCTT!$A$70:$A$93,0),0)),CCTT!B$69:E$69))</f>
        <v>bt</v>
      </c>
      <c r="K11" s="146" t="s">
        <v>25</v>
      </c>
      <c r="L11" s="145" t="s">
        <v>22</v>
      </c>
      <c r="M11" s="145" t="s">
        <v>22</v>
      </c>
      <c r="N11" s="145" t="s">
        <v>22</v>
      </c>
      <c r="O11" s="145" t="s">
        <v>22</v>
      </c>
      <c r="P11" s="145" t="s">
        <v>22</v>
      </c>
      <c r="Q11" s="145" t="s">
        <v>22</v>
      </c>
      <c r="R11" s="147" t="s">
        <v>23</v>
      </c>
      <c r="S11" s="137" t="str">
        <f t="shared" ref="S11:S19" si="0">PROPER(B11)</f>
        <v>Vũ Diệp Nhã</v>
      </c>
      <c r="T11" s="137">
        <f t="shared" ref="T11:T19" si="1">DATEDIF(D11,DATE($X$4,$W$4,$V$4),"m")</f>
        <v>13</v>
      </c>
      <c r="U11" s="137">
        <f t="shared" ref="U11:U19" si="2">G11/(I11/100)^2</f>
        <v>15.387502345655847</v>
      </c>
      <c r="Y11" s="137">
        <f>SUM(Y10:AA10)</f>
        <v>10</v>
      </c>
    </row>
    <row r="12" spans="1:37" s="137" customFormat="1" ht="16.8">
      <c r="A12" s="138">
        <v>3</v>
      </c>
      <c r="B12" s="139" t="s">
        <v>194</v>
      </c>
      <c r="C12" s="149" t="s">
        <v>195</v>
      </c>
      <c r="D12" s="151">
        <v>45812</v>
      </c>
      <c r="E12" s="142" t="s">
        <v>189</v>
      </c>
      <c r="F12" s="143"/>
      <c r="G12" s="144">
        <v>10.1</v>
      </c>
      <c r="H12" s="145" t="str">
        <f>IF(DATEDIF(D12,DATE($X$4,$W$4,$V$4),"m")&lt;=60,LOOKUP(2,1/(G12&gt;=INDEX(IF(E12="x",CNTT!$B$4:$E$64,CNTT!$F$4:$I$64),MATCH(DATEDIF(D12,DATE($X$4,$W$4,$V$4),"m"),CNTT!$A$4:$A$64,0),0)),CNTT!$B$3:$E$3),LOOKUP(2,1/(G12&gt;=INDEX(IF(E12="x",CNTT!$B$70:$E$93,CNTT!$F$70:$I$93),MATCH(DATEDIF(D12,DATE($X$4,$W$4,$V$4),"m"),CNTT!$A$70:$A$93,0),0)),CNTT!$B$69:$E$69))</f>
        <v>bt</v>
      </c>
      <c r="I12" s="145">
        <v>79</v>
      </c>
      <c r="J12" s="146" t="str">
        <f>IF(DATEDIF(D12,DATE($X$4,$W$4,$V$4),"m")&lt;=60,LOOKUP(2,1/(I12&gt;=INDEX(IF(E12="x",CCTT!$B$4:$E$64,CCTT!$F$4:$I$64),MATCH(DATEDIF(D12,DATE($X$4,$W$4,$V$4),"m"),CCTT!$A$4:$A$64,0),0)),CCTT!$B$3:$E$3),LOOKUP(2,1/(I12&gt;=INDEX(IF(E12="x",CCTT!$B$70:$E$93,CCTT!$F$70:$I$93),MATCH(DATEDIF(D12,DATE($X$4,$W$4,$V$4),"m"),CCTT!$A$70:$A$93,0),0)),CCTT!B$69:E$69))</f>
        <v>bt</v>
      </c>
      <c r="K12" s="146" t="s">
        <v>25</v>
      </c>
      <c r="L12" s="145" t="s">
        <v>22</v>
      </c>
      <c r="M12" s="145" t="s">
        <v>22</v>
      </c>
      <c r="N12" s="145" t="s">
        <v>22</v>
      </c>
      <c r="O12" s="145" t="s">
        <v>22</v>
      </c>
      <c r="P12" s="145" t="s">
        <v>22</v>
      </c>
      <c r="Q12" s="145" t="s">
        <v>22</v>
      </c>
      <c r="R12" s="147" t="s">
        <v>23</v>
      </c>
      <c r="S12" s="137" t="str">
        <f t="shared" si="0"/>
        <v>Trần Chí</v>
      </c>
      <c r="T12" s="137">
        <f t="shared" si="1"/>
        <v>14</v>
      </c>
      <c r="U12" s="137">
        <f t="shared" si="2"/>
        <v>16.183303957699085</v>
      </c>
      <c r="Y12" s="137">
        <f>SUM(AB10:AD10)</f>
        <v>10</v>
      </c>
    </row>
    <row r="13" spans="1:37" s="137" customFormat="1" ht="18" customHeight="1">
      <c r="A13" s="138">
        <v>4</v>
      </c>
      <c r="B13" s="139" t="s">
        <v>196</v>
      </c>
      <c r="C13" s="149" t="s">
        <v>197</v>
      </c>
      <c r="D13" s="151">
        <v>45719</v>
      </c>
      <c r="E13" s="142"/>
      <c r="F13" s="150" t="s">
        <v>189</v>
      </c>
      <c r="G13" s="144">
        <v>8.1999999999999993</v>
      </c>
      <c r="H13" s="145" t="str">
        <f>IF(DATEDIF(D13,DATE($X$4,$W$4,$V$4),"m")&lt;=60,LOOKUP(2,1/(G13&gt;=INDEX(IF(E13="x",CNTT!$B$4:$E$64,CNTT!$F$4:$I$64),MATCH(DATEDIF(D13,DATE($X$4,$W$4,$V$4),"m"),CNTT!$A$4:$A$64,0),0)),CNTT!$B$3:$E$3),LOOKUP(2,1/(G13&gt;=INDEX(IF(E13="x",CNTT!$B$70:$E$93,CNTT!$F$70:$I$93),MATCH(DATEDIF(D13,DATE($X$4,$W$4,$V$4),"m"),CNTT!$A$70:$A$93,0),0)),CNTT!$B$69:$E$69))</f>
        <v>bt</v>
      </c>
      <c r="I13" s="145">
        <v>75</v>
      </c>
      <c r="J13" s="146" t="str">
        <f>IF(DATEDIF(D13,DATE($X$4,$W$4,$V$4),"m")&lt;=60,LOOKUP(2,1/(I13&gt;=INDEX(IF(E13="x",CCTT!$B$4:$E$64,CCTT!$F$4:$I$64),MATCH(DATEDIF(D13,DATE($X$4,$W$4,$V$4),"m"),CCTT!$A$4:$A$64,0),0)),CCTT!$B$3:$E$3),LOOKUP(2,1/(I13&gt;=INDEX(IF(E13="x",CCTT!$B$70:$E$93,CCTT!$F$70:$I$93),MATCH(DATEDIF(D13,DATE($X$4,$W$4,$V$4),"m"),CCTT!$A$70:$A$93,0),0)),CCTT!B$69:E$69))</f>
        <v>bt</v>
      </c>
      <c r="K13" s="146" t="s">
        <v>25</v>
      </c>
      <c r="L13" s="145" t="s">
        <v>22</v>
      </c>
      <c r="M13" s="155" t="s">
        <v>47</v>
      </c>
      <c r="N13" s="145" t="s">
        <v>22</v>
      </c>
      <c r="O13" s="145" t="s">
        <v>22</v>
      </c>
      <c r="P13" s="145" t="s">
        <v>22</v>
      </c>
      <c r="Q13" s="145" t="s">
        <v>22</v>
      </c>
      <c r="R13" s="147" t="s">
        <v>57</v>
      </c>
      <c r="S13" s="137" t="str">
        <f t="shared" si="0"/>
        <v xml:space="preserve">Đỗ Hoàng Trà </v>
      </c>
      <c r="T13" s="137">
        <f t="shared" si="1"/>
        <v>17</v>
      </c>
      <c r="U13" s="137">
        <f t="shared" si="2"/>
        <v>14.577777777777776</v>
      </c>
      <c r="Y13" s="137">
        <f>SUM(AE10:AH10)</f>
        <v>10</v>
      </c>
    </row>
    <row r="14" spans="1:37" s="137" customFormat="1" ht="16.8">
      <c r="A14" s="138">
        <v>5</v>
      </c>
      <c r="B14" s="139" t="s">
        <v>198</v>
      </c>
      <c r="C14" s="149" t="s">
        <v>199</v>
      </c>
      <c r="D14" s="151">
        <v>45744</v>
      </c>
      <c r="E14" s="142"/>
      <c r="F14" s="143" t="s">
        <v>189</v>
      </c>
      <c r="G14" s="144">
        <v>9</v>
      </c>
      <c r="H14" s="145" t="str">
        <f>IF(DATEDIF(D14,DATE($X$4,$W$4,$V$4),"m")&lt;=60,LOOKUP(2,1/(G14&gt;=INDEX(IF(E14="x",CNTT!$B$4:$E$64,CNTT!$F$4:$I$64),MATCH(DATEDIF(D14,DATE($X$4,$W$4,$V$4),"m"),CNTT!$A$4:$A$64,0),0)),CNTT!$B$3:$E$3),LOOKUP(2,1/(G14&gt;=INDEX(IF(E14="x",CNTT!$B$70:$E$93,CNTT!$F$70:$I$93),MATCH(DATEDIF(D14,DATE($X$4,$W$4,$V$4),"m"),CNTT!$A$70:$A$93,0),0)),CNTT!$B$69:$E$69))</f>
        <v>bt</v>
      </c>
      <c r="I14" s="145">
        <v>78</v>
      </c>
      <c r="J14" s="146" t="str">
        <f>IF(DATEDIF(D14,DATE($X$4,$W$4,$V$4),"m")&lt;=60,LOOKUP(2,1/(I14&gt;=INDEX(IF(E14="x",CCTT!$B$4:$E$64,CCTT!$F$4:$I$64),MATCH(DATEDIF(D14,DATE($X$4,$W$4,$V$4),"m"),CCTT!$A$4:$A$64,0),0)),CCTT!$B$3:$E$3),LOOKUP(2,1/(I14&gt;=INDEX(IF(E14="x",CCTT!$B$70:$E$93,CCTT!$F$70:$I$93),MATCH(DATEDIF(D14,DATE($X$4,$W$4,$V$4),"m"),CCTT!$A$70:$A$93,0),0)),CCTT!B$69:E$69))</f>
        <v>bt</v>
      </c>
      <c r="K14" s="146" t="s">
        <v>25</v>
      </c>
      <c r="L14" s="145" t="s">
        <v>22</v>
      </c>
      <c r="M14" s="145" t="s">
        <v>22</v>
      </c>
      <c r="N14" s="145" t="s">
        <v>22</v>
      </c>
      <c r="O14" s="145" t="s">
        <v>22</v>
      </c>
      <c r="P14" s="145" t="s">
        <v>22</v>
      </c>
      <c r="Q14" s="145" t="s">
        <v>22</v>
      </c>
      <c r="R14" s="147" t="s">
        <v>23</v>
      </c>
      <c r="S14" s="137" t="str">
        <f t="shared" si="0"/>
        <v>Nguyễn Trúc</v>
      </c>
      <c r="T14" s="137">
        <f t="shared" si="1"/>
        <v>17</v>
      </c>
      <c r="U14" s="137">
        <f t="shared" si="2"/>
        <v>14.792899408284022</v>
      </c>
      <c r="Y14" s="137">
        <f>SUM(AI10:AK10)</f>
        <v>10</v>
      </c>
    </row>
    <row r="15" spans="1:37" s="137" customFormat="1" ht="16.8">
      <c r="A15" s="138">
        <v>6</v>
      </c>
      <c r="B15" s="139" t="s">
        <v>200</v>
      </c>
      <c r="C15" s="149" t="s">
        <v>201</v>
      </c>
      <c r="D15" s="151">
        <v>45887</v>
      </c>
      <c r="E15" s="142" t="s">
        <v>189</v>
      </c>
      <c r="F15" s="143"/>
      <c r="G15" s="144">
        <v>10.4</v>
      </c>
      <c r="H15" s="145" t="str">
        <f>IF(DATEDIF(D15,DATE($X$4,$W$4,$V$4),"m")&lt;=60,LOOKUP(2,1/(G15&gt;=INDEX(IF(E15="x",CNTT!$B$4:$E$64,CNTT!$F$4:$I$64),MATCH(DATEDIF(D15,DATE($X$4,$W$4,$V$4),"m"),CNTT!$A$4:$A$64,0),0)),CNTT!$B$3:$E$3),LOOKUP(2,1/(G15&gt;=INDEX(IF(E15="x",CNTT!$B$70:$E$93,CNTT!$F$70:$I$93),MATCH(DATEDIF(D15,DATE($X$4,$W$4,$V$4),"m"),CNTT!$A$70:$A$93,0),0)),CNTT!$B$69:$E$69))</f>
        <v>bt</v>
      </c>
      <c r="I15" s="145">
        <v>76</v>
      </c>
      <c r="J15" s="146" t="str">
        <f>IF(DATEDIF(D15,DATE($X$4,$W$4,$V$4),"m")&lt;=60,LOOKUP(2,1/(I15&gt;=INDEX(IF(E15="x",CCTT!$B$4:$E$64,CCTT!$F$4:$I$64),MATCH(DATEDIF(D15,DATE($X$4,$W$4,$V$4),"m"),CCTT!$A$4:$A$64,0),0)),CCTT!$B$3:$E$3),LOOKUP(2,1/(I15&gt;=INDEX(IF(E15="x",CCTT!$B$70:$E$93,CCTT!$F$70:$I$93),MATCH(DATEDIF(D15,DATE($X$4,$W$4,$V$4),"m"),CCTT!$A$70:$A$93,0),0)),CCTT!B$69:E$69))</f>
        <v>bt</v>
      </c>
      <c r="K15" s="146" t="s">
        <v>25</v>
      </c>
      <c r="L15" s="145" t="s">
        <v>22</v>
      </c>
      <c r="M15" s="145" t="s">
        <v>22</v>
      </c>
      <c r="N15" s="145" t="s">
        <v>22</v>
      </c>
      <c r="O15" s="145" t="s">
        <v>22</v>
      </c>
      <c r="P15" s="145" t="s">
        <v>22</v>
      </c>
      <c r="Q15" s="145" t="s">
        <v>22</v>
      </c>
      <c r="R15" s="147" t="s">
        <v>23</v>
      </c>
      <c r="S15" s="137" t="str">
        <f t="shared" si="0"/>
        <v>Võ Duy</v>
      </c>
      <c r="T15" s="137">
        <f t="shared" si="1"/>
        <v>12</v>
      </c>
      <c r="U15" s="137">
        <f t="shared" si="2"/>
        <v>18.005540166204987</v>
      </c>
    </row>
    <row r="16" spans="1:37" s="137" customFormat="1" ht="16.8">
      <c r="A16" s="138">
        <v>7</v>
      </c>
      <c r="B16" s="152" t="s">
        <v>202</v>
      </c>
      <c r="C16" s="153" t="s">
        <v>203</v>
      </c>
      <c r="D16" s="151">
        <v>45754</v>
      </c>
      <c r="E16" s="142" t="s">
        <v>189</v>
      </c>
      <c r="F16" s="150"/>
      <c r="G16" s="144">
        <v>10</v>
      </c>
      <c r="H16" s="145" t="str">
        <f>IF(DATEDIF(D16,DATE($X$4,$W$4,$V$4),"m")&lt;=60,LOOKUP(2,1/(G16&gt;=INDEX(IF(E16="x",CNTT!$B$4:$E$64,CNTT!$F$4:$I$64),MATCH(DATEDIF(D16,DATE($X$4,$W$4,$V$4),"m"),CNTT!$A$4:$A$64,0),0)),CNTT!$B$3:$E$3),LOOKUP(2,1/(G16&gt;=INDEX(IF(E16="x",CNTT!$B$70:$E$93,CNTT!$F$70:$I$93),MATCH(DATEDIF(D16,DATE($X$4,$W$4,$V$4),"m"),CNTT!$A$70:$A$93,0),0)),CNTT!$B$69:$E$69))</f>
        <v>bt</v>
      </c>
      <c r="I16" s="145">
        <v>76</v>
      </c>
      <c r="J16" s="146" t="str">
        <f>IF(DATEDIF(D16,DATE($X$4,$W$4,$V$4),"m")&lt;=60,LOOKUP(2,1/(I16&gt;=INDEX(IF(E16="x",CCTT!$B$4:$E$64,CCTT!$F$4:$I$64),MATCH(DATEDIF(D16,DATE($X$4,$W$4,$V$4),"m"),CCTT!$A$4:$A$64,0),0)),CCTT!$B$3:$E$3),LOOKUP(2,1/(I16&gt;=INDEX(IF(E16="x",CCTT!$B$70:$E$93,CCTT!$F$70:$I$93),MATCH(DATEDIF(D16,DATE($X$4,$W$4,$V$4),"m"),CCTT!$A$70:$A$93,0),0)),CCTT!B$69:E$69))</f>
        <v>bt</v>
      </c>
      <c r="K16" s="146" t="s">
        <v>25</v>
      </c>
      <c r="L16" s="145" t="s">
        <v>22</v>
      </c>
      <c r="M16" s="145" t="s">
        <v>22</v>
      </c>
      <c r="N16" s="145" t="s">
        <v>22</v>
      </c>
      <c r="O16" s="145" t="s">
        <v>22</v>
      </c>
      <c r="P16" s="145" t="s">
        <v>22</v>
      </c>
      <c r="Q16" s="145" t="s">
        <v>22</v>
      </c>
      <c r="R16" s="147" t="s">
        <v>23</v>
      </c>
      <c r="S16" s="137" t="str">
        <f t="shared" si="0"/>
        <v>Vòng Ngọc Cát</v>
      </c>
      <c r="T16" s="137">
        <f t="shared" si="1"/>
        <v>16</v>
      </c>
      <c r="U16" s="137">
        <f t="shared" si="2"/>
        <v>17.313019390581719</v>
      </c>
    </row>
    <row r="17" spans="1:21" s="137" customFormat="1" ht="16.8">
      <c r="A17" s="138">
        <v>8</v>
      </c>
      <c r="B17" s="139" t="s">
        <v>204</v>
      </c>
      <c r="C17" s="149" t="s">
        <v>205</v>
      </c>
      <c r="D17" s="154">
        <v>45675</v>
      </c>
      <c r="E17" s="142"/>
      <c r="F17" s="150" t="s">
        <v>189</v>
      </c>
      <c r="G17" s="144">
        <v>11.3</v>
      </c>
      <c r="H17" s="145" t="str">
        <f>IF(DATEDIF(D17,DATE($X$4,$W$4,$V$4),"m")&lt;=60,LOOKUP(2,1/(G17&gt;=INDEX(IF(E17="x",CNTT!$B$4:$E$64,CNTT!$F$4:$I$64),MATCH(DATEDIF(D17,DATE($X$4,$W$4,$V$4),"m"),CNTT!$A$4:$A$64,0),0)),CNTT!$B$3:$E$3),LOOKUP(2,1/(G17&gt;=INDEX(IF(E17="x",CNTT!$B$70:$E$93,CNTT!$F$70:$I$93),MATCH(DATEDIF(D17,DATE($X$4,$W$4,$V$4),"m"),CNTT!$A$70:$A$93,0),0)),CNTT!$B$69:$E$69))</f>
        <v>bt</v>
      </c>
      <c r="I17" s="145">
        <v>84</v>
      </c>
      <c r="J17" s="146" t="str">
        <f>IF(DATEDIF(D17,DATE($X$4,$W$4,$V$4),"m")&lt;=60,LOOKUP(2,1/(I17&gt;=INDEX(IF(E17="x",CCTT!$B$4:$E$64,CCTT!$F$4:$I$64),MATCH(DATEDIF(D17,DATE($X$4,$W$4,$V$4),"m"),CCTT!$A$4:$A$64,0),0)),CCTT!$B$3:$E$3),LOOKUP(2,1/(I17&gt;=INDEX(IF(E17="x",CCTT!$B$70:$E$93,CCTT!$F$70:$I$93),MATCH(DATEDIF(D17,DATE($X$4,$W$4,$V$4),"m"),CCTT!$A$70:$A$93,0),0)),CCTT!B$69:E$69))</f>
        <v>bt</v>
      </c>
      <c r="K17" s="146" t="s">
        <v>25</v>
      </c>
      <c r="L17" s="145" t="s">
        <v>22</v>
      </c>
      <c r="M17" s="145" t="s">
        <v>22</v>
      </c>
      <c r="N17" s="145" t="s">
        <v>22</v>
      </c>
      <c r="O17" s="145" t="s">
        <v>22</v>
      </c>
      <c r="P17" s="145" t="s">
        <v>22</v>
      </c>
      <c r="Q17" s="145" t="s">
        <v>22</v>
      </c>
      <c r="R17" s="147" t="s">
        <v>23</v>
      </c>
      <c r="S17" s="137" t="str">
        <f t="shared" si="0"/>
        <v>Đỗ Khánh</v>
      </c>
      <c r="T17" s="137">
        <f t="shared" si="1"/>
        <v>19</v>
      </c>
      <c r="U17" s="137">
        <f t="shared" si="2"/>
        <v>16.014739229024947</v>
      </c>
    </row>
    <row r="18" spans="1:21" s="137" customFormat="1" ht="16.8">
      <c r="A18" s="138">
        <v>9</v>
      </c>
      <c r="B18" s="139" t="s">
        <v>206</v>
      </c>
      <c r="C18" s="140" t="s">
        <v>207</v>
      </c>
      <c r="D18" s="151">
        <v>45717</v>
      </c>
      <c r="E18" s="142"/>
      <c r="F18" s="150" t="s">
        <v>189</v>
      </c>
      <c r="G18" s="144">
        <v>11.5</v>
      </c>
      <c r="H18" s="145" t="str">
        <f>IF(DATEDIF(D18,DATE($X$4,$W$4,$V$4),"m")&lt;=60,LOOKUP(2,1/(G18&gt;=INDEX(IF(E18="x",CNTT!$B$4:$E$64,CNTT!$F$4:$I$64),MATCH(DATEDIF(D18,DATE($X$4,$W$4,$V$4),"m"),CNTT!$A$4:$A$64,0),0)),CNTT!$B$3:$E$3),LOOKUP(2,1/(G18&gt;=INDEX(IF(E18="x",CNTT!$B$70:$E$93,CNTT!$F$70:$I$93),MATCH(DATEDIF(D18,DATE($X$4,$W$4,$V$4),"m"),CNTT!$A$70:$A$93,0),0)),CNTT!$B$69:$E$69))</f>
        <v>bt</v>
      </c>
      <c r="I18" s="145">
        <v>78</v>
      </c>
      <c r="J18" s="146" t="str">
        <f>IF(DATEDIF(D18,DATE($X$4,$W$4,$V$4),"m")&lt;=60,LOOKUP(2,1/(I18&gt;=INDEX(IF(E18="x",CCTT!$B$4:$E$64,CCTT!$F$4:$I$64),MATCH(DATEDIF(D18,DATE($X$4,$W$4,$V$4),"m"),CCTT!$A$4:$A$64,0),0)),CCTT!$B$3:$E$3),LOOKUP(2,1/(I18&gt;=INDEX(IF(E18="x",CCTT!$B$70:$E$93,CCTT!$F$70:$I$93),MATCH(DATEDIF(D18,DATE($X$4,$W$4,$V$4),"m"),CCTT!$A$70:$A$93,0),0)),CCTT!B$69:E$69))</f>
        <v>bt</v>
      </c>
      <c r="K18" s="146" t="s">
        <v>25</v>
      </c>
      <c r="L18" s="145" t="s">
        <v>22</v>
      </c>
      <c r="M18" s="145" t="s">
        <v>22</v>
      </c>
      <c r="N18" s="145" t="s">
        <v>22</v>
      </c>
      <c r="O18" s="145" t="s">
        <v>22</v>
      </c>
      <c r="P18" s="145" t="s">
        <v>22</v>
      </c>
      <c r="Q18" s="145" t="s">
        <v>22</v>
      </c>
      <c r="R18" s="147" t="s">
        <v>23</v>
      </c>
      <c r="S18" s="137" t="str">
        <f t="shared" si="0"/>
        <v>Phan Nguyễn Phương</v>
      </c>
      <c r="T18" s="137">
        <f t="shared" si="1"/>
        <v>17</v>
      </c>
      <c r="U18" s="137">
        <f t="shared" si="2"/>
        <v>18.902038132807363</v>
      </c>
    </row>
    <row r="19" spans="1:21" s="137" customFormat="1" ht="16.8">
      <c r="A19" s="138">
        <v>10</v>
      </c>
      <c r="B19" s="139" t="s">
        <v>441</v>
      </c>
      <c r="C19" s="140" t="s">
        <v>173</v>
      </c>
      <c r="D19" s="151">
        <v>45861</v>
      </c>
      <c r="E19" s="142"/>
      <c r="F19" s="150" t="s">
        <v>189</v>
      </c>
      <c r="G19" s="144">
        <v>11.7</v>
      </c>
      <c r="H19" s="145" t="str">
        <f>IF(DATEDIF(D19,DATE($X$4,$W$4,$V$4),"m")&lt;=60,LOOKUP(2,1/(G19&gt;=INDEX(IF(E19="x",CNTT!$B$4:$E$64,CNTT!$F$4:$I$64),MATCH(DATEDIF(D19,DATE($X$4,$W$4,$V$4),"m"),CNTT!$A$4:$A$64,0),0)),CNTT!$B$3:$E$3),LOOKUP(2,1/(G19&gt;=INDEX(IF(E19="x",CNTT!$B$70:$E$93,CNTT!$F$70:$I$93),MATCH(DATEDIF(D19,DATE($X$4,$W$4,$V$4),"m"),CNTT!$A$70:$A$93,0),0)),CNTT!$B$69:$E$69))</f>
        <v>bt</v>
      </c>
      <c r="I19" s="145">
        <v>72</v>
      </c>
      <c r="J19" s="146" t="str">
        <f>IF(DATEDIF(D19,DATE($X$4,$W$4,$V$4),"m")&lt;=60,LOOKUP(2,1/(I19&gt;=INDEX(IF(E19="x",CCTT!$B$4:$E$64,CCTT!$F$4:$I$64),MATCH(DATEDIF(D19,DATE($X$4,$W$4,$V$4),"m"),CCTT!$A$4:$A$64,0),0)),CCTT!$B$3:$E$3),LOOKUP(2,1/(I19&gt;=INDEX(IF(E19="x",CCTT!$B$70:$E$93,CCTT!$F$70:$I$93),MATCH(DATEDIF(D19,DATE($X$4,$W$4,$V$4),"m"),CCTT!$A$70:$A$93,0),0)),CCTT!B$69:E$69))</f>
        <v>bt</v>
      </c>
      <c r="K19" s="146" t="s">
        <v>25</v>
      </c>
      <c r="L19" s="145" t="s">
        <v>22</v>
      </c>
      <c r="M19" s="155" t="s">
        <v>47</v>
      </c>
      <c r="N19" s="145" t="s">
        <v>22</v>
      </c>
      <c r="O19" s="145" t="s">
        <v>22</v>
      </c>
      <c r="P19" s="145" t="s">
        <v>22</v>
      </c>
      <c r="Q19" s="145" t="s">
        <v>22</v>
      </c>
      <c r="R19" s="147" t="s">
        <v>57</v>
      </c>
      <c r="S19" s="137" t="str">
        <f t="shared" si="0"/>
        <v>Dương Ngọc An</v>
      </c>
      <c r="T19" s="137">
        <f t="shared" si="1"/>
        <v>13</v>
      </c>
      <c r="U19" s="137">
        <f t="shared" si="2"/>
        <v>22.569444444444443</v>
      </c>
    </row>
    <row r="20" spans="1:21" ht="16.8">
      <c r="A20" s="68"/>
      <c r="B20" s="74"/>
      <c r="C20" s="69"/>
      <c r="D20" s="75"/>
      <c r="E20" s="70"/>
      <c r="F20" s="70"/>
      <c r="G20" s="70"/>
      <c r="H20" s="71"/>
      <c r="I20" s="70"/>
      <c r="J20" s="94"/>
      <c r="K20" s="94"/>
      <c r="L20" s="71"/>
      <c r="M20" s="76"/>
      <c r="N20" s="71"/>
      <c r="O20" s="71"/>
      <c r="P20" s="71"/>
      <c r="Q20" s="71"/>
      <c r="R20" s="73"/>
    </row>
    <row r="21" spans="1:21" s="3" customFormat="1">
      <c r="A21" s="93"/>
      <c r="C21" s="13"/>
      <c r="D21" s="13" t="s">
        <v>24</v>
      </c>
      <c r="E21" s="13"/>
      <c r="F21" s="13"/>
      <c r="G21" s="14"/>
      <c r="H21" s="14"/>
      <c r="I21" s="14"/>
      <c r="J21" s="14"/>
      <c r="K21" s="14"/>
      <c r="L21" s="15"/>
      <c r="M21" s="15"/>
      <c r="N21" s="15"/>
      <c r="O21" s="15"/>
      <c r="P21" s="15"/>
      <c r="Q21" s="15"/>
      <c r="R21" s="14"/>
    </row>
    <row r="22" spans="1:21" s="3" customFormat="1">
      <c r="B22" s="15"/>
      <c r="C22" s="15"/>
      <c r="D22" s="15"/>
      <c r="E22" s="15"/>
      <c r="F22" s="15"/>
      <c r="G22" s="14"/>
      <c r="H22" s="14"/>
      <c r="I22" s="14"/>
      <c r="J22" s="14"/>
      <c r="K22" s="14"/>
      <c r="L22" s="15"/>
      <c r="M22" s="15"/>
      <c r="N22" s="15"/>
      <c r="O22" s="15"/>
      <c r="P22" s="15"/>
      <c r="Q22" s="15"/>
      <c r="R22" s="14"/>
    </row>
    <row r="23" spans="1:21" s="3" customFormat="1">
      <c r="A23" s="16" t="s">
        <v>25</v>
      </c>
      <c r="C23" s="15" t="s">
        <v>26</v>
      </c>
      <c r="D23" s="15"/>
      <c r="E23" s="15"/>
      <c r="F23" s="15"/>
      <c r="G23" s="14"/>
      <c r="H23" s="14"/>
      <c r="I23" s="16" t="s">
        <v>27</v>
      </c>
      <c r="J23" s="15"/>
      <c r="K23" s="15"/>
      <c r="L23" s="15" t="s">
        <v>28</v>
      </c>
      <c r="M23" s="15"/>
      <c r="N23" s="15"/>
      <c r="O23" s="15"/>
      <c r="P23" s="15"/>
      <c r="Q23" s="15"/>
      <c r="R23" s="14"/>
    </row>
    <row r="24" spans="1:21" s="3" customFormat="1">
      <c r="A24" s="16" t="s">
        <v>29</v>
      </c>
      <c r="C24" s="15" t="s">
        <v>30</v>
      </c>
      <c r="D24" s="15"/>
      <c r="E24" s="15"/>
      <c r="F24" s="15"/>
      <c r="G24" s="14"/>
      <c r="H24" s="14"/>
      <c r="I24" s="16" t="s">
        <v>31</v>
      </c>
      <c r="J24" s="15"/>
      <c r="K24" s="15"/>
      <c r="L24" s="15" t="s">
        <v>32</v>
      </c>
      <c r="M24" s="15"/>
      <c r="N24" s="15"/>
      <c r="O24" s="15"/>
      <c r="P24" s="15"/>
      <c r="Q24" s="15"/>
      <c r="R24" s="14"/>
    </row>
    <row r="25" spans="1:21" s="3" customFormat="1">
      <c r="A25" s="16" t="s">
        <v>33</v>
      </c>
      <c r="C25" s="15" t="s">
        <v>34</v>
      </c>
      <c r="D25" s="15"/>
      <c r="E25" s="15"/>
      <c r="F25" s="15"/>
      <c r="G25" s="14"/>
      <c r="H25" s="14"/>
      <c r="I25" s="16" t="s">
        <v>35</v>
      </c>
      <c r="J25" s="15"/>
      <c r="K25" s="15"/>
      <c r="L25" s="15" t="s">
        <v>36</v>
      </c>
      <c r="M25" s="15"/>
      <c r="N25" s="15"/>
      <c r="O25" s="15"/>
      <c r="P25" s="15"/>
      <c r="Q25" s="15"/>
      <c r="R25" s="14"/>
    </row>
    <row r="26" spans="1:21" s="3" customFormat="1">
      <c r="A26" s="16" t="s">
        <v>37</v>
      </c>
      <c r="C26" s="15" t="s">
        <v>38</v>
      </c>
      <c r="D26" s="15"/>
      <c r="E26" s="15"/>
      <c r="F26" s="15"/>
      <c r="G26" s="14"/>
      <c r="H26" s="14"/>
      <c r="I26" s="16" t="s">
        <v>39</v>
      </c>
      <c r="J26" s="15"/>
      <c r="K26" s="15"/>
      <c r="L26" s="15" t="s">
        <v>40</v>
      </c>
      <c r="M26" s="15"/>
      <c r="N26" s="15"/>
      <c r="O26" s="15"/>
      <c r="P26" s="15"/>
      <c r="Q26" s="15"/>
      <c r="R26" s="14"/>
    </row>
    <row r="27" spans="1:21">
      <c r="A27" s="16" t="s">
        <v>41</v>
      </c>
      <c r="C27" s="15" t="s">
        <v>42</v>
      </c>
      <c r="D27" s="15"/>
      <c r="E27" s="15"/>
      <c r="F27" s="15"/>
      <c r="G27" s="14"/>
      <c r="H27" s="14"/>
      <c r="I27" s="16" t="s">
        <v>43</v>
      </c>
      <c r="J27" s="15"/>
      <c r="K27" s="15"/>
      <c r="L27" s="15" t="s">
        <v>44</v>
      </c>
      <c r="M27" s="15"/>
      <c r="N27" s="15"/>
      <c r="O27" s="15"/>
      <c r="P27" s="15"/>
      <c r="Q27" s="15"/>
      <c r="R27" s="14"/>
    </row>
    <row r="28" spans="1:21">
      <c r="A28" s="4" t="s">
        <v>45</v>
      </c>
      <c r="C28" s="3" t="s">
        <v>46</v>
      </c>
      <c r="I28" s="5" t="s">
        <v>47</v>
      </c>
      <c r="L28" s="4" t="s">
        <v>48</v>
      </c>
    </row>
    <row r="29" spans="1:21">
      <c r="A29" s="4" t="s">
        <v>49</v>
      </c>
      <c r="C29" s="3" t="s">
        <v>50</v>
      </c>
      <c r="I29" s="5" t="s">
        <v>51</v>
      </c>
      <c r="L29" s="4" t="s">
        <v>52</v>
      </c>
    </row>
    <row r="30" spans="1:21">
      <c r="A30" s="4" t="s">
        <v>53</v>
      </c>
      <c r="C30" s="3" t="s">
        <v>54</v>
      </c>
      <c r="I30" s="5" t="s">
        <v>55</v>
      </c>
      <c r="L30" s="4" t="s">
        <v>56</v>
      </c>
    </row>
  </sheetData>
  <autoFilter ref="A9:WWA19"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K29"/>
  <sheetViews>
    <sheetView zoomScale="63" zoomScaleNormal="63" zoomScaleSheetLayoutView="100" workbookViewId="0">
      <pane ySplit="9" topLeftCell="A10" activePane="bottomLeft" state="frozen"/>
      <selection activeCell="T34" sqref="T34"/>
      <selection pane="bottomLeft" activeCell="E16" activeCellId="3" sqref="B12:C12 B16:C17 E12:F12 E16:F17"/>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449</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11" t="s">
        <v>10</v>
      </c>
      <c r="F9" s="11" t="s">
        <v>11</v>
      </c>
      <c r="G9" s="66" t="s">
        <v>12</v>
      </c>
      <c r="H9" s="66" t="s">
        <v>13</v>
      </c>
      <c r="I9" s="66" t="s">
        <v>14</v>
      </c>
      <c r="J9" s="66" t="s">
        <v>13</v>
      </c>
      <c r="K9" s="66" t="s">
        <v>15</v>
      </c>
      <c r="L9" s="84" t="s">
        <v>16</v>
      </c>
      <c r="M9" s="84" t="s">
        <v>17</v>
      </c>
      <c r="N9" s="84" t="s">
        <v>18</v>
      </c>
      <c r="O9" s="84" t="s">
        <v>19</v>
      </c>
      <c r="P9" s="84" t="s">
        <v>20</v>
      </c>
      <c r="Q9" s="84" t="s">
        <v>21</v>
      </c>
      <c r="R9" s="97"/>
      <c r="Y9" s="85" t="s">
        <v>25</v>
      </c>
      <c r="Z9" s="85" t="s">
        <v>29</v>
      </c>
      <c r="AA9" s="85" t="s">
        <v>41</v>
      </c>
      <c r="AB9" s="85" t="s">
        <v>25</v>
      </c>
      <c r="AC9" s="85" t="s">
        <v>27</v>
      </c>
      <c r="AD9" s="85" t="s">
        <v>92</v>
      </c>
      <c r="AE9" s="85" t="s">
        <v>25</v>
      </c>
      <c r="AF9" s="85" t="s">
        <v>33</v>
      </c>
      <c r="AG9" s="85" t="s">
        <v>37</v>
      </c>
      <c r="AH9" s="85" t="s">
        <v>35</v>
      </c>
      <c r="AI9" s="85" t="s">
        <v>23</v>
      </c>
      <c r="AJ9" s="85" t="s">
        <v>57</v>
      </c>
      <c r="AK9" s="85" t="s">
        <v>81</v>
      </c>
    </row>
    <row r="10" spans="1:37" s="148" customFormat="1" ht="16.8">
      <c r="A10" s="138">
        <v>1</v>
      </c>
      <c r="B10" s="139" t="s">
        <v>174</v>
      </c>
      <c r="C10" s="149" t="s">
        <v>175</v>
      </c>
      <c r="D10" s="141">
        <v>45694</v>
      </c>
      <c r="E10" s="142"/>
      <c r="F10" s="150" t="s">
        <v>189</v>
      </c>
      <c r="G10" s="144">
        <v>11</v>
      </c>
      <c r="H10" s="145" t="str">
        <f>IF(DATEDIF(D10,DATE($X$4,$W$4,$V$4),"m")&lt;=60,LOOKUP(2,1/(G10&gt;=INDEX(IF(E10="x",CNTT!$B$4:$E$64,CNTT!$F$4:$I$64),MATCH(DATEDIF(D10,DATE($X$4,$W$4,$V$4),"m"),CNTT!$A$4:$A$64,0),0)),CNTT!$B$3:$E$3),LOOKUP(2,1/(G10&gt;=INDEX(IF(E10="x",CNTT!$B$70:$E$93,CNTT!$F$70:$I$93),MATCH(DATEDIF(D10,DATE($X$4,$W$4,$V$4),"m"),CNTT!$A$70:$A$93,0),0)),CNTT!$B$69:$E$69))</f>
        <v>bt</v>
      </c>
      <c r="I10" s="145">
        <v>79</v>
      </c>
      <c r="J10" s="146" t="str">
        <f>IF(DATEDIF(D10,DATE($X$4,$W$4,$V$4),"m")&lt;=60,LOOKUP(2,1/(I10&gt;=INDEX(IF(E10="x",CCTT!$B$4:$E$64,CCTT!$F$4:$I$64),MATCH(DATEDIF(D10,DATE($X$4,$W$4,$V$4),"m"),CCTT!$A$4:$A$64,0),0)),CCTT!$B$3:$E$3),LOOKUP(2,1/(I10&gt;=INDEX(IF(E10="x",CCTT!$B$70:$E$93,CCTT!$F$70:$I$93),MATCH(DATEDIF(D10,DATE($X$4,$W$4,$V$4),"m"),CCTT!$A$70:$A$93,0),0)),CCTT!B$69:E$69))</f>
        <v>bt</v>
      </c>
      <c r="K10" s="146" t="s">
        <v>25</v>
      </c>
      <c r="L10" s="145" t="s">
        <v>22</v>
      </c>
      <c r="M10" s="145" t="s">
        <v>22</v>
      </c>
      <c r="N10" s="145" t="s">
        <v>22</v>
      </c>
      <c r="O10" s="145" t="s">
        <v>22</v>
      </c>
      <c r="P10" s="145" t="s">
        <v>22</v>
      </c>
      <c r="Q10" s="145" t="s">
        <v>22</v>
      </c>
      <c r="R10" s="147" t="s">
        <v>23</v>
      </c>
      <c r="S10" s="148" t="str">
        <f>PROPER(B10)</f>
        <v>Nguyễn Ngọc Bảo</v>
      </c>
      <c r="T10" s="148">
        <f>DATEDIF(D10,DATE($X$4,$W$4,$V$4),"m")</f>
        <v>18</v>
      </c>
      <c r="U10" s="148">
        <f>G10/(I10/100)^2</f>
        <v>17.625380547989103</v>
      </c>
      <c r="W10" s="145"/>
      <c r="Y10" s="146">
        <f>COUNTIF(H10:H18,Y9)</f>
        <v>9</v>
      </c>
      <c r="Z10" s="146">
        <f>COUNTIF(H10:H18,Z9)</f>
        <v>0</v>
      </c>
      <c r="AA10" s="146">
        <f>COUNTIF(H10:H18,AA9)</f>
        <v>0</v>
      </c>
      <c r="AB10" s="146">
        <f>COUNTIF(J10:J18,AB9)</f>
        <v>9</v>
      </c>
      <c r="AC10" s="146">
        <f>COUNTIF(J10:J18,AC9)</f>
        <v>0</v>
      </c>
      <c r="AD10" s="146">
        <f>COUNTIF(J10:J18,AD9)</f>
        <v>0</v>
      </c>
      <c r="AE10" s="146">
        <f>COUNTIF(K10:K18,AE9)</f>
        <v>9</v>
      </c>
      <c r="AF10" s="146">
        <f>COUNTIF(K10:K18,AF9)</f>
        <v>0</v>
      </c>
      <c r="AG10" s="146">
        <f>COUNTIF(K10:K18,AG9)</f>
        <v>0</v>
      </c>
      <c r="AH10" s="146">
        <f>COUNTIF(K10:K18,AH9)</f>
        <v>0</v>
      </c>
      <c r="AI10" s="146">
        <f>COUNTIF(R10:R18,AI9)</f>
        <v>6</v>
      </c>
      <c r="AJ10" s="146">
        <f>COUNTIF(R10:R18,AJ9)</f>
        <v>3</v>
      </c>
      <c r="AK10" s="146">
        <f>COUNTIF(R10:R18,AK9)</f>
        <v>0</v>
      </c>
    </row>
    <row r="11" spans="1:37" s="148" customFormat="1" ht="16.8">
      <c r="A11" s="138">
        <v>2</v>
      </c>
      <c r="B11" s="139" t="s">
        <v>176</v>
      </c>
      <c r="C11" s="149" t="s">
        <v>177</v>
      </c>
      <c r="D11" s="151">
        <v>45570</v>
      </c>
      <c r="E11" s="142"/>
      <c r="F11" s="143" t="s">
        <v>189</v>
      </c>
      <c r="G11" s="144">
        <v>11.4</v>
      </c>
      <c r="H11" s="145" t="str">
        <f>IF(DATEDIF(D11,DATE($X$4,$W$4,$V$4),"m")&lt;=60,LOOKUP(2,1/(G11&gt;=INDEX(IF(E11="x",CNTT!$B$4:$E$64,CNTT!$F$4:$I$64),MATCH(DATEDIF(D11,DATE($X$4,$W$4,$V$4),"m"),CNTT!$A$4:$A$64,0),0)),CNTT!$B$3:$E$3),LOOKUP(2,1/(G11&gt;=INDEX(IF(E11="x",CNTT!$B$70:$E$93,CNTT!$F$70:$I$93),MATCH(DATEDIF(D11,DATE($X$4,$W$4,$V$4),"m"),CNTT!$A$70:$A$93,0),0)),CNTT!$B$69:$E$69))</f>
        <v>bt</v>
      </c>
      <c r="I11" s="145">
        <v>86</v>
      </c>
      <c r="J11" s="146" t="str">
        <f>IF(DATEDIF(D11,DATE($X$4,$W$4,$V$4),"m")&lt;=60,LOOKUP(2,1/(I11&gt;=INDEX(IF(E11="x",CCTT!$B$4:$E$64,CCTT!$F$4:$I$64),MATCH(DATEDIF(D11,DATE($X$4,$W$4,$V$4),"m"),CCTT!$A$4:$A$64,0),0)),CCTT!$B$3:$E$3),LOOKUP(2,1/(I11&gt;=INDEX(IF(E11="x",CCTT!$B$70:$E$93,CCTT!$F$70:$I$93),MATCH(DATEDIF(D11,DATE($X$4,$W$4,$V$4),"m"),CCTT!$A$70:$A$93,0),0)),CCTT!B$69:E$69))</f>
        <v>bt</v>
      </c>
      <c r="K11" s="146" t="s">
        <v>25</v>
      </c>
      <c r="L11" s="145" t="s">
        <v>22</v>
      </c>
      <c r="M11" s="145" t="s">
        <v>22</v>
      </c>
      <c r="N11" s="145" t="s">
        <v>22</v>
      </c>
      <c r="O11" s="145" t="s">
        <v>22</v>
      </c>
      <c r="P11" s="145" t="s">
        <v>22</v>
      </c>
      <c r="Q11" s="145" t="s">
        <v>22</v>
      </c>
      <c r="R11" s="147" t="s">
        <v>23</v>
      </c>
      <c r="S11" s="148" t="str">
        <f t="shared" ref="S11:S18" si="0">PROPER(B11)</f>
        <v>Nguyễn Khả</v>
      </c>
      <c r="T11" s="148">
        <f t="shared" ref="T11:T18" si="1">DATEDIF(D11,DATE($X$4,$W$4,$V$4),"m")</f>
        <v>22</v>
      </c>
      <c r="U11" s="148">
        <f t="shared" ref="U11:U18" si="2">G11/(I11/100)^2</f>
        <v>15.413737155219039</v>
      </c>
      <c r="Y11" s="148">
        <f>SUM(Y10:AA10)</f>
        <v>9</v>
      </c>
    </row>
    <row r="12" spans="1:37" s="148" customFormat="1" ht="16.8">
      <c r="A12" s="138">
        <v>3</v>
      </c>
      <c r="B12" s="139" t="s">
        <v>178</v>
      </c>
      <c r="C12" s="149" t="s">
        <v>179</v>
      </c>
      <c r="D12" s="151">
        <v>45638</v>
      </c>
      <c r="E12" s="142" t="s">
        <v>189</v>
      </c>
      <c r="F12" s="143"/>
      <c r="G12" s="144">
        <v>12.5</v>
      </c>
      <c r="H12" s="145" t="str">
        <f>IF(DATEDIF(D12,DATE($X$4,$W$4,$V$4),"m")&lt;=60,LOOKUP(2,1/(G12&gt;=INDEX(IF(E12="x",CNTT!$B$4:$E$64,CNTT!$F$4:$I$64),MATCH(DATEDIF(D12,DATE($X$4,$W$4,$V$4),"m"),CNTT!$A$4:$A$64,0),0)),CNTT!$B$3:$E$3),LOOKUP(2,1/(G12&gt;=INDEX(IF(E12="x",CNTT!$B$70:$E$93,CNTT!$F$70:$I$93),MATCH(DATEDIF(D12,DATE($X$4,$W$4,$V$4),"m"),CNTT!$A$70:$A$93,0),0)),CNTT!$B$69:$E$69))</f>
        <v>bt</v>
      </c>
      <c r="I12" s="145">
        <v>86</v>
      </c>
      <c r="J12" s="146" t="str">
        <f>IF(DATEDIF(D12,DATE($X$4,$W$4,$V$4),"m")&lt;=60,LOOKUP(2,1/(I12&gt;=INDEX(IF(E12="x",CCTT!$B$4:$E$64,CCTT!$F$4:$I$64),MATCH(DATEDIF(D12,DATE($X$4,$W$4,$V$4),"m"),CCTT!$A$4:$A$64,0),0)),CCTT!$B$3:$E$3),LOOKUP(2,1/(I12&gt;=INDEX(IF(E12="x",CCTT!$B$70:$E$93,CCTT!$F$70:$I$93),MATCH(DATEDIF(D12,DATE($X$4,$W$4,$V$4),"m"),CCTT!$A$70:$A$93,0),0)),CCTT!B$69:E$69))</f>
        <v>bt</v>
      </c>
      <c r="K12" s="146" t="s">
        <v>25</v>
      </c>
      <c r="L12" s="145" t="s">
        <v>22</v>
      </c>
      <c r="M12" s="155" t="s">
        <v>51</v>
      </c>
      <c r="N12" s="145" t="s">
        <v>22</v>
      </c>
      <c r="O12" s="145" t="s">
        <v>22</v>
      </c>
      <c r="P12" s="145" t="s">
        <v>22</v>
      </c>
      <c r="Q12" s="145" t="s">
        <v>22</v>
      </c>
      <c r="R12" s="147" t="s">
        <v>57</v>
      </c>
      <c r="S12" s="148" t="str">
        <f t="shared" si="0"/>
        <v>Lê Bảo</v>
      </c>
      <c r="T12" s="148">
        <f t="shared" si="1"/>
        <v>20</v>
      </c>
      <c r="U12" s="148">
        <f t="shared" si="2"/>
        <v>16.901027582477017</v>
      </c>
      <c r="Y12" s="148">
        <f>SUM(AB10:AD10)</f>
        <v>9</v>
      </c>
    </row>
    <row r="13" spans="1:37" s="148" customFormat="1" ht="18" customHeight="1">
      <c r="A13" s="138">
        <v>4</v>
      </c>
      <c r="B13" s="139" t="s">
        <v>180</v>
      </c>
      <c r="C13" s="149" t="s">
        <v>181</v>
      </c>
      <c r="D13" s="151">
        <v>45667</v>
      </c>
      <c r="E13" s="142" t="s">
        <v>189</v>
      </c>
      <c r="F13" s="150"/>
      <c r="G13" s="144">
        <v>11.9</v>
      </c>
      <c r="H13" s="145" t="str">
        <f>IF(DATEDIF(D13,DATE($X$4,$W$4,$V$4),"m")&lt;=60,LOOKUP(2,1/(G13&gt;=INDEX(IF(E13="x",CNTT!$B$4:$E$64,CNTT!$F$4:$I$64),MATCH(DATEDIF(D13,DATE($X$4,$W$4,$V$4),"m"),CNTT!$A$4:$A$64,0),0)),CNTT!$B$3:$E$3),LOOKUP(2,1/(G13&gt;=INDEX(IF(E13="x",CNTT!$B$70:$E$93,CNTT!$F$70:$I$93),MATCH(DATEDIF(D13,DATE($X$4,$W$4,$V$4),"m"),CNTT!$A$70:$A$93,0),0)),CNTT!$B$69:$E$69))</f>
        <v>bt</v>
      </c>
      <c r="I13" s="145">
        <v>79</v>
      </c>
      <c r="J13" s="146" t="str">
        <f>IF(DATEDIF(D13,DATE($X$4,$W$4,$V$4),"m")&lt;=60,LOOKUP(2,1/(I13&gt;=INDEX(IF(E13="x",CCTT!$B$4:$E$64,CCTT!$F$4:$I$64),MATCH(DATEDIF(D13,DATE($X$4,$W$4,$V$4),"m"),CCTT!$A$4:$A$64,0),0)),CCTT!$B$3:$E$3),LOOKUP(2,1/(I13&gt;=INDEX(IF(E13="x",CCTT!$B$70:$E$93,CCTT!$F$70:$I$93),MATCH(DATEDIF(D13,DATE($X$4,$W$4,$V$4),"m"),CCTT!$A$70:$A$93,0),0)),CCTT!B$69:E$69))</f>
        <v>bt</v>
      </c>
      <c r="K13" s="146" t="s">
        <v>25</v>
      </c>
      <c r="L13" s="145" t="s">
        <v>22</v>
      </c>
      <c r="M13" s="145" t="s">
        <v>22</v>
      </c>
      <c r="N13" s="145" t="s">
        <v>22</v>
      </c>
      <c r="O13" s="145" t="s">
        <v>22</v>
      </c>
      <c r="P13" s="145" t="s">
        <v>22</v>
      </c>
      <c r="Q13" s="145" t="s">
        <v>22</v>
      </c>
      <c r="R13" s="147" t="s">
        <v>23</v>
      </c>
      <c r="S13" s="148" t="str">
        <f t="shared" si="0"/>
        <v>Nguyễn Nhật</v>
      </c>
      <c r="T13" s="148">
        <f t="shared" si="1"/>
        <v>19</v>
      </c>
      <c r="U13" s="148">
        <f t="shared" si="2"/>
        <v>19.067457138279121</v>
      </c>
      <c r="Y13" s="148">
        <f>SUM(AE10:AH10)</f>
        <v>9</v>
      </c>
    </row>
    <row r="14" spans="1:37" s="148" customFormat="1" ht="16.8">
      <c r="A14" s="138">
        <v>5</v>
      </c>
      <c r="B14" s="139" t="s">
        <v>182</v>
      </c>
      <c r="C14" s="149" t="s">
        <v>166</v>
      </c>
      <c r="D14" s="151">
        <v>45695</v>
      </c>
      <c r="E14" s="142"/>
      <c r="F14" s="143" t="s">
        <v>189</v>
      </c>
      <c r="G14" s="144">
        <v>9.1</v>
      </c>
      <c r="H14" s="145" t="str">
        <f>IF(DATEDIF(D14,DATE($X$4,$W$4,$V$4),"m")&lt;=60,LOOKUP(2,1/(G14&gt;=INDEX(IF(E14="x",CNTT!$B$4:$E$64,CNTT!$F$4:$I$64),MATCH(DATEDIF(D14,DATE($X$4,$W$4,$V$4),"m"),CNTT!$A$4:$A$64,0),0)),CNTT!$B$3:$E$3),LOOKUP(2,1/(G14&gt;=INDEX(IF(E14="x",CNTT!$B$70:$E$93,CNTT!$F$70:$I$93),MATCH(DATEDIF(D14,DATE($X$4,$W$4,$V$4),"m"),CNTT!$A$70:$A$93,0),0)),CNTT!$B$69:$E$69))</f>
        <v>bt</v>
      </c>
      <c r="I14" s="145">
        <v>78</v>
      </c>
      <c r="J14" s="146" t="str">
        <f>IF(DATEDIF(D14,DATE($X$4,$W$4,$V$4),"m")&lt;=60,LOOKUP(2,1/(I14&gt;=INDEX(IF(E14="x",CCTT!$B$4:$E$64,CCTT!$F$4:$I$64),MATCH(DATEDIF(D14,DATE($X$4,$W$4,$V$4),"m"),CCTT!$A$4:$A$64,0),0)),CCTT!$B$3:$E$3),LOOKUP(2,1/(I14&gt;=INDEX(IF(E14="x",CCTT!$B$70:$E$93,CCTT!$F$70:$I$93),MATCH(DATEDIF(D14,DATE($X$4,$W$4,$V$4),"m"),CCTT!$A$70:$A$93,0),0)),CCTT!B$69:E$69))</f>
        <v>bt</v>
      </c>
      <c r="K14" s="146" t="s">
        <v>25</v>
      </c>
      <c r="L14" s="145" t="s">
        <v>22</v>
      </c>
      <c r="M14" s="145" t="s">
        <v>22</v>
      </c>
      <c r="N14" s="145" t="s">
        <v>22</v>
      </c>
      <c r="O14" s="145" t="s">
        <v>22</v>
      </c>
      <c r="P14" s="145" t="s">
        <v>22</v>
      </c>
      <c r="Q14" s="145" t="s">
        <v>22</v>
      </c>
      <c r="R14" s="147" t="s">
        <v>23</v>
      </c>
      <c r="S14" s="148" t="str">
        <f t="shared" si="0"/>
        <v>Nguyễn Lê Kim</v>
      </c>
      <c r="T14" s="148">
        <f t="shared" si="1"/>
        <v>18</v>
      </c>
      <c r="U14" s="148">
        <f t="shared" si="2"/>
        <v>14.957264957264956</v>
      </c>
      <c r="Y14" s="148">
        <f>SUM(AI10:AK10)</f>
        <v>9</v>
      </c>
    </row>
    <row r="15" spans="1:37" s="148" customFormat="1" ht="16.8">
      <c r="A15" s="138">
        <v>6</v>
      </c>
      <c r="B15" s="139" t="s">
        <v>183</v>
      </c>
      <c r="C15" s="149" t="s">
        <v>184</v>
      </c>
      <c r="D15" s="151">
        <v>45693</v>
      </c>
      <c r="E15" s="142"/>
      <c r="F15" s="143" t="s">
        <v>189</v>
      </c>
      <c r="G15" s="144">
        <v>11.7</v>
      </c>
      <c r="H15" s="145" t="str">
        <f>IF(DATEDIF(D15,DATE($X$4,$W$4,$V$4),"m")&lt;=60,LOOKUP(2,1/(G15&gt;=INDEX(IF(E15="x",CNTT!$B$4:$E$64,CNTT!$F$4:$I$64),MATCH(DATEDIF(D15,DATE($X$4,$W$4,$V$4),"m"),CNTT!$A$4:$A$64,0),0)),CNTT!$B$3:$E$3),LOOKUP(2,1/(G15&gt;=INDEX(IF(E15="x",CNTT!$B$70:$E$93,CNTT!$F$70:$I$93),MATCH(DATEDIF(D15,DATE($X$4,$W$4,$V$4),"m"),CNTT!$A$70:$A$93,0),0)),CNTT!$B$69:$E$69))</f>
        <v>bt</v>
      </c>
      <c r="I15" s="145">
        <v>80</v>
      </c>
      <c r="J15" s="146" t="str">
        <f>IF(DATEDIF(D15,DATE($X$4,$W$4,$V$4),"m")&lt;=60,LOOKUP(2,1/(I15&gt;=INDEX(IF(E15="x",CCTT!$B$4:$E$64,CCTT!$F$4:$I$64),MATCH(DATEDIF(D15,DATE($X$4,$W$4,$V$4),"m"),CCTT!$A$4:$A$64,0),0)),CCTT!$B$3:$E$3),LOOKUP(2,1/(I15&gt;=INDEX(IF(E15="x",CCTT!$B$70:$E$93,CCTT!$F$70:$I$93),MATCH(DATEDIF(D15,DATE($X$4,$W$4,$V$4),"m"),CCTT!$A$70:$A$93,0),0)),CCTT!B$69:E$69))</f>
        <v>bt</v>
      </c>
      <c r="K15" s="146" t="s">
        <v>25</v>
      </c>
      <c r="L15" s="145" t="s">
        <v>22</v>
      </c>
      <c r="M15" s="145" t="s">
        <v>22</v>
      </c>
      <c r="N15" s="145" t="s">
        <v>22</v>
      </c>
      <c r="O15" s="145" t="s">
        <v>22</v>
      </c>
      <c r="P15" s="145" t="s">
        <v>22</v>
      </c>
      <c r="Q15" s="145" t="s">
        <v>22</v>
      </c>
      <c r="R15" s="147" t="s">
        <v>23</v>
      </c>
      <c r="S15" s="148" t="str">
        <f t="shared" si="0"/>
        <v>Nguyễn Trần Hạ</v>
      </c>
      <c r="T15" s="148">
        <f t="shared" si="1"/>
        <v>18</v>
      </c>
      <c r="U15" s="148">
        <f t="shared" si="2"/>
        <v>18.281249999999996</v>
      </c>
    </row>
    <row r="16" spans="1:37" s="148" customFormat="1" ht="16.8">
      <c r="A16" s="138">
        <v>7</v>
      </c>
      <c r="B16" s="139" t="s">
        <v>186</v>
      </c>
      <c r="C16" s="149" t="s">
        <v>185</v>
      </c>
      <c r="D16" s="154">
        <v>45644</v>
      </c>
      <c r="E16" s="142" t="s">
        <v>189</v>
      </c>
      <c r="F16" s="150"/>
      <c r="G16" s="144">
        <v>11.4</v>
      </c>
      <c r="H16" s="145" t="str">
        <f>IF(DATEDIF(D16,DATE($X$4,$W$4,$V$4),"m")&lt;=60,LOOKUP(2,1/(G16&gt;=INDEX(IF(E16="x",CNTT!$B$4:$E$64,CNTT!$F$4:$I$64),MATCH(DATEDIF(D16,DATE($X$4,$W$4,$V$4),"m"),CNTT!$A$4:$A$64,0),0)),CNTT!$B$3:$E$3),LOOKUP(2,1/(G16&gt;=INDEX(IF(E16="x",CNTT!$B$70:$E$93,CNTT!$F$70:$I$93),MATCH(DATEDIF(D16,DATE($X$4,$W$4,$V$4),"m"),CNTT!$A$70:$A$93,0),0)),CNTT!$B$69:$E$69))</f>
        <v>bt</v>
      </c>
      <c r="I16" s="145">
        <v>84</v>
      </c>
      <c r="J16" s="146" t="str">
        <f>IF(DATEDIF(D16,DATE($X$4,$W$4,$V$4),"m")&lt;=60,LOOKUP(2,1/(I16&gt;=INDEX(IF(E16="x",CCTT!$B$4:$E$64,CCTT!$F$4:$I$64),MATCH(DATEDIF(D16,DATE($X$4,$W$4,$V$4),"m"),CCTT!$A$4:$A$64,0),0)),CCTT!$B$3:$E$3),LOOKUP(2,1/(I16&gt;=INDEX(IF(E16="x",CCTT!$B$70:$E$93,CCTT!$F$70:$I$93),MATCH(DATEDIF(D16,DATE($X$4,$W$4,$V$4),"m"),CCTT!$A$70:$A$93,0),0)),CCTT!B$69:E$69))</f>
        <v>bt</v>
      </c>
      <c r="K16" s="146" t="s">
        <v>25</v>
      </c>
      <c r="L16" s="145" t="s">
        <v>22</v>
      </c>
      <c r="M16" s="155" t="s">
        <v>51</v>
      </c>
      <c r="N16" s="145" t="s">
        <v>22</v>
      </c>
      <c r="O16" s="145" t="s">
        <v>22</v>
      </c>
      <c r="P16" s="145" t="s">
        <v>22</v>
      </c>
      <c r="Q16" s="145" t="s">
        <v>22</v>
      </c>
      <c r="R16" s="147" t="s">
        <v>57</v>
      </c>
      <c r="S16" s="148" t="str">
        <f t="shared" si="0"/>
        <v>Nguyễn Đăng</v>
      </c>
      <c r="T16" s="148">
        <f t="shared" si="1"/>
        <v>20</v>
      </c>
      <c r="U16" s="148">
        <f t="shared" si="2"/>
        <v>16.156462585034017</v>
      </c>
    </row>
    <row r="17" spans="1:21" s="148" customFormat="1" ht="16.8">
      <c r="A17" s="138">
        <v>8</v>
      </c>
      <c r="B17" s="139" t="s">
        <v>187</v>
      </c>
      <c r="C17" s="140" t="s">
        <v>188</v>
      </c>
      <c r="D17" s="151">
        <v>45686</v>
      </c>
      <c r="E17" s="142"/>
      <c r="F17" s="150" t="s">
        <v>189</v>
      </c>
      <c r="G17" s="144">
        <v>10.3</v>
      </c>
      <c r="H17" s="145" t="str">
        <f>IF(DATEDIF(D17,DATE($X$4,$W$4,$V$4),"m")&lt;=60,LOOKUP(2,1/(G17&gt;=INDEX(IF(E17="x",CNTT!$B$4:$E$64,CNTT!$F$4:$I$64),MATCH(DATEDIF(D17,DATE($X$4,$W$4,$V$4),"m"),CNTT!$A$4:$A$64,0),0)),CNTT!$B$3:$E$3),LOOKUP(2,1/(G17&gt;=INDEX(IF(E17="x",CNTT!$B$70:$E$93,CNTT!$F$70:$I$93),MATCH(DATEDIF(D17,DATE($X$4,$W$4,$V$4),"m"),CNTT!$A$70:$A$93,0),0)),CNTT!$B$69:$E$69))</f>
        <v>bt</v>
      </c>
      <c r="I17" s="145">
        <v>81</v>
      </c>
      <c r="J17" s="146" t="str">
        <f>IF(DATEDIF(D17,DATE($X$4,$W$4,$V$4),"m")&lt;=60,LOOKUP(2,1/(I17&gt;=INDEX(IF(E17="x",CCTT!$B$4:$E$64,CCTT!$F$4:$I$64),MATCH(DATEDIF(D17,DATE($X$4,$W$4,$V$4),"m"),CCTT!$A$4:$A$64,0),0)),CCTT!$B$3:$E$3),LOOKUP(2,1/(I17&gt;=INDEX(IF(E17="x",CCTT!$B$70:$E$93,CCTT!$F$70:$I$93),MATCH(DATEDIF(D17,DATE($X$4,$W$4,$V$4),"m"),CCTT!$A$70:$A$93,0),0)),CCTT!B$69:E$69))</f>
        <v>bt</v>
      </c>
      <c r="K17" s="146" t="s">
        <v>25</v>
      </c>
      <c r="L17" s="145" t="s">
        <v>22</v>
      </c>
      <c r="M17" s="155" t="s">
        <v>51</v>
      </c>
      <c r="N17" s="145" t="s">
        <v>22</v>
      </c>
      <c r="O17" s="145" t="s">
        <v>22</v>
      </c>
      <c r="P17" s="145" t="s">
        <v>22</v>
      </c>
      <c r="Q17" s="145" t="s">
        <v>22</v>
      </c>
      <c r="R17" s="147" t="s">
        <v>57</v>
      </c>
      <c r="S17" s="148" t="str">
        <f t="shared" si="0"/>
        <v>Nguyễn Ngọc Ánh</v>
      </c>
      <c r="T17" s="148">
        <f t="shared" si="1"/>
        <v>19</v>
      </c>
      <c r="U17" s="148">
        <f t="shared" si="2"/>
        <v>15.698826398414873</v>
      </c>
    </row>
    <row r="18" spans="1:21" s="148" customFormat="1" ht="16.8">
      <c r="A18" s="138">
        <v>9</v>
      </c>
      <c r="B18" s="139" t="s">
        <v>442</v>
      </c>
      <c r="C18" s="140" t="s">
        <v>443</v>
      </c>
      <c r="D18" s="151">
        <v>45734</v>
      </c>
      <c r="E18" s="142" t="s">
        <v>189</v>
      </c>
      <c r="F18" s="150"/>
      <c r="G18" s="144">
        <v>11.1</v>
      </c>
      <c r="H18" s="145" t="str">
        <f>IF(DATEDIF(D18,DATE($X$4,$W$4,$V$4),"m")&lt;=60,LOOKUP(2,1/(G18&gt;=INDEX(IF(E18="x",CNTT!$B$4:$E$64,CNTT!$F$4:$I$64),MATCH(DATEDIF(D18,DATE($X$4,$W$4,$V$4),"m"),CNTT!$A$4:$A$64,0),0)),CNTT!$B$3:$E$3),LOOKUP(2,1/(G18&gt;=INDEX(IF(E18="x",CNTT!$B$70:$E$93,CNTT!$F$70:$I$93),MATCH(DATEDIF(D18,DATE($X$4,$W$4,$V$4),"m"),CNTT!$A$70:$A$93,0),0)),CNTT!$B$69:$E$69))</f>
        <v>bt</v>
      </c>
      <c r="I18" s="145">
        <v>86</v>
      </c>
      <c r="J18" s="146" t="str">
        <f>IF(DATEDIF(D18,DATE($X$4,$W$4,$V$4),"m")&lt;=60,LOOKUP(2,1/(I18&gt;=INDEX(IF(E18="x",CCTT!$B$4:$E$64,CCTT!$F$4:$I$64),MATCH(DATEDIF(D18,DATE($X$4,$W$4,$V$4),"m"),CCTT!$A$4:$A$64,0),0)),CCTT!$B$3:$E$3),LOOKUP(2,1/(I18&gt;=INDEX(IF(E18="x",CCTT!$B$70:$E$93,CCTT!$F$70:$I$93),MATCH(DATEDIF(D18,DATE($X$4,$W$4,$V$4),"m"),CCTT!$A$70:$A$93,0),0)),CCTT!B$69:E$69))</f>
        <v>bt</v>
      </c>
      <c r="K18" s="146" t="str">
        <f>IF(DATEDIF(D18,DATE($X$4,$W$4,$V$4),"m")&lt;24,LOOKUP(2,1/(G18&gt;=INDEX(IF(E18="x",CNTCC!$B$4:$F$134,CNTCC!$F$4),MATCH(I18,CNTCC!$A$4:$A$134,0),0)),CNTCC!$B$3:$F$3),IF(AND(DATEDIF(D18,DATE($X$4,$W$4,$V$4),"m")&gt;=24,DATEDIF(D18,DATE($X$4,$W$4,$V$4),"m")&lt;=60),LOOKUP(2,1/(G18&gt;=INDEX(IF(E18="x",CNTCC!$B$141:$F$251,CNTCC!$G$141:$K$251),MATCH(I18,CNTCC!$A$141:$A$251,0),0)),CNTCC!$B$140:$F$140),0))</f>
        <v>bt</v>
      </c>
      <c r="L18" s="145" t="s">
        <v>22</v>
      </c>
      <c r="M18" s="145" t="s">
        <v>22</v>
      </c>
      <c r="N18" s="145" t="s">
        <v>22</v>
      </c>
      <c r="O18" s="145" t="s">
        <v>22</v>
      </c>
      <c r="P18" s="145" t="s">
        <v>22</v>
      </c>
      <c r="Q18" s="145" t="s">
        <v>22</v>
      </c>
      <c r="R18" s="147" t="s">
        <v>23</v>
      </c>
      <c r="S18" s="148" t="str">
        <f t="shared" si="0"/>
        <v>Lã Trương Minh</v>
      </c>
      <c r="T18" s="148">
        <f t="shared" si="1"/>
        <v>17</v>
      </c>
      <c r="U18" s="148">
        <f t="shared" si="2"/>
        <v>15.00811249323959</v>
      </c>
    </row>
    <row r="19" spans="1:21" ht="16.8">
      <c r="A19" s="68"/>
      <c r="B19" s="74"/>
      <c r="C19" s="69"/>
      <c r="D19" s="75"/>
      <c r="E19" s="70"/>
      <c r="F19" s="70"/>
      <c r="G19" s="70"/>
      <c r="H19" s="71"/>
      <c r="I19" s="70"/>
      <c r="J19" s="72"/>
      <c r="K19" s="72"/>
      <c r="L19" s="71"/>
      <c r="M19" s="76"/>
      <c r="N19" s="71"/>
      <c r="O19" s="71"/>
      <c r="P19" s="71"/>
      <c r="Q19" s="71"/>
      <c r="R19" s="73"/>
    </row>
    <row r="20" spans="1:21" s="3" customFormat="1">
      <c r="A20" s="67"/>
      <c r="C20" s="13"/>
      <c r="D20" s="13" t="s">
        <v>24</v>
      </c>
      <c r="E20" s="13"/>
      <c r="F20" s="13"/>
      <c r="G20" s="14"/>
      <c r="H20" s="14"/>
      <c r="I20" s="14"/>
      <c r="J20" s="14"/>
      <c r="K20" s="14"/>
      <c r="L20" s="15"/>
      <c r="M20" s="15"/>
      <c r="N20" s="15"/>
      <c r="O20" s="15"/>
      <c r="P20" s="15"/>
      <c r="Q20" s="15"/>
      <c r="R20" s="14"/>
    </row>
    <row r="21" spans="1:21" s="3" customFormat="1">
      <c r="B21" s="15"/>
      <c r="C21" s="15"/>
      <c r="D21" s="15"/>
      <c r="E21" s="15"/>
      <c r="F21" s="15"/>
      <c r="G21" s="14"/>
      <c r="H21" s="14"/>
      <c r="I21" s="14"/>
      <c r="J21" s="14"/>
      <c r="K21" s="14"/>
      <c r="L21" s="15"/>
      <c r="M21" s="15"/>
      <c r="N21" s="15"/>
      <c r="O21" s="15"/>
      <c r="P21" s="15"/>
      <c r="Q21" s="15"/>
      <c r="R21" s="14"/>
    </row>
    <row r="22" spans="1:21" s="3" customFormat="1">
      <c r="A22" s="16" t="s">
        <v>25</v>
      </c>
      <c r="C22" s="15" t="s">
        <v>26</v>
      </c>
      <c r="D22" s="15"/>
      <c r="E22" s="15"/>
      <c r="F22" s="15"/>
      <c r="G22" s="14"/>
      <c r="H22" s="14"/>
      <c r="I22" s="16" t="s">
        <v>27</v>
      </c>
      <c r="J22" s="15"/>
      <c r="K22" s="15"/>
      <c r="L22" s="15" t="s">
        <v>28</v>
      </c>
      <c r="M22" s="15"/>
      <c r="N22" s="15"/>
      <c r="O22" s="15"/>
      <c r="P22" s="15"/>
      <c r="Q22" s="15"/>
      <c r="R22" s="14"/>
    </row>
    <row r="23" spans="1:21" s="3" customFormat="1">
      <c r="A23" s="16" t="s">
        <v>29</v>
      </c>
      <c r="C23" s="15" t="s">
        <v>30</v>
      </c>
      <c r="D23" s="15"/>
      <c r="E23" s="15"/>
      <c r="F23" s="15"/>
      <c r="G23" s="14"/>
      <c r="H23" s="14"/>
      <c r="I23" s="16" t="s">
        <v>31</v>
      </c>
      <c r="J23" s="15"/>
      <c r="K23" s="15"/>
      <c r="L23" s="15" t="s">
        <v>32</v>
      </c>
      <c r="M23" s="15"/>
      <c r="N23" s="15"/>
      <c r="O23" s="15"/>
      <c r="P23" s="15"/>
      <c r="Q23" s="15"/>
      <c r="R23" s="14"/>
    </row>
    <row r="24" spans="1:21" s="3" customFormat="1">
      <c r="A24" s="16" t="s">
        <v>33</v>
      </c>
      <c r="C24" s="15" t="s">
        <v>34</v>
      </c>
      <c r="D24" s="15"/>
      <c r="E24" s="15"/>
      <c r="F24" s="15"/>
      <c r="G24" s="14"/>
      <c r="H24" s="14"/>
      <c r="I24" s="16" t="s">
        <v>35</v>
      </c>
      <c r="J24" s="15"/>
      <c r="K24" s="15"/>
      <c r="L24" s="15" t="s">
        <v>36</v>
      </c>
      <c r="M24" s="15"/>
      <c r="N24" s="15"/>
      <c r="O24" s="15"/>
      <c r="P24" s="15"/>
      <c r="Q24" s="15"/>
      <c r="R24" s="14"/>
    </row>
    <row r="25" spans="1:21" s="3" customFormat="1">
      <c r="A25" s="16" t="s">
        <v>37</v>
      </c>
      <c r="C25" s="15" t="s">
        <v>38</v>
      </c>
      <c r="D25" s="15"/>
      <c r="E25" s="15"/>
      <c r="F25" s="15"/>
      <c r="G25" s="14"/>
      <c r="H25" s="14"/>
      <c r="I25" s="16" t="s">
        <v>39</v>
      </c>
      <c r="J25" s="15"/>
      <c r="K25" s="15"/>
      <c r="L25" s="15" t="s">
        <v>40</v>
      </c>
      <c r="M25" s="15"/>
      <c r="N25" s="15"/>
      <c r="O25" s="15"/>
      <c r="P25" s="15"/>
      <c r="Q25" s="15"/>
      <c r="R25" s="14"/>
    </row>
    <row r="26" spans="1:21">
      <c r="A26" s="16" t="s">
        <v>41</v>
      </c>
      <c r="C26" s="15" t="s">
        <v>42</v>
      </c>
      <c r="D26" s="15"/>
      <c r="E26" s="15"/>
      <c r="F26" s="15"/>
      <c r="G26" s="14"/>
      <c r="H26" s="14"/>
      <c r="I26" s="16" t="s">
        <v>43</v>
      </c>
      <c r="J26" s="15"/>
      <c r="K26" s="15"/>
      <c r="L26" s="15" t="s">
        <v>44</v>
      </c>
      <c r="M26" s="15"/>
      <c r="N26" s="15"/>
      <c r="O26" s="15"/>
      <c r="P26" s="15"/>
      <c r="Q26" s="15"/>
      <c r="R26" s="14"/>
    </row>
    <row r="27" spans="1:21">
      <c r="A27" s="4" t="s">
        <v>45</v>
      </c>
      <c r="C27" s="3" t="s">
        <v>46</v>
      </c>
      <c r="I27" s="5" t="s">
        <v>47</v>
      </c>
      <c r="L27" s="4" t="s">
        <v>48</v>
      </c>
    </row>
    <row r="28" spans="1:21">
      <c r="A28" s="4" t="s">
        <v>49</v>
      </c>
      <c r="C28" s="3" t="s">
        <v>50</v>
      </c>
      <c r="I28" s="5" t="s">
        <v>51</v>
      </c>
      <c r="L28" s="4" t="s">
        <v>52</v>
      </c>
    </row>
    <row r="29" spans="1:21">
      <c r="A29" s="4" t="s">
        <v>53</v>
      </c>
      <c r="C29" s="3" t="s">
        <v>54</v>
      </c>
      <c r="I29" s="5" t="s">
        <v>55</v>
      </c>
      <c r="L29" s="4" t="s">
        <v>56</v>
      </c>
    </row>
  </sheetData>
  <autoFilter ref="A9:WWA18"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5941-3FF9-44FC-9D87-DB2FD9BDA801}">
  <sheetPr>
    <tabColor rgb="FF92D050"/>
  </sheetPr>
  <dimension ref="A1:AK33"/>
  <sheetViews>
    <sheetView zoomScale="69" zoomScaleNormal="69" zoomScaleSheetLayoutView="100" workbookViewId="0">
      <pane ySplit="9" topLeftCell="A10" activePane="bottomLeft" state="frozen"/>
      <selection activeCell="T34" sqref="T34"/>
      <selection pane="bottomLeft" activeCell="E14" activeCellId="1" sqref="B14:C14 E14:F14"/>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450</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16.8">
      <c r="A10" s="138">
        <v>1</v>
      </c>
      <c r="B10" s="139" t="s">
        <v>209</v>
      </c>
      <c r="C10" s="149" t="s">
        <v>167</v>
      </c>
      <c r="D10" s="151" t="s">
        <v>210</v>
      </c>
      <c r="E10" s="142"/>
      <c r="F10" s="143" t="s">
        <v>189</v>
      </c>
      <c r="G10" s="144">
        <v>10.1</v>
      </c>
      <c r="H10" s="145" t="str">
        <f>IF(DATEDIF(D10,DATE($X$4,$W$4,$V$4),"m")&lt;=60,LOOKUP(2,1/(G10&gt;=INDEX(IF(E10="x",CNTT!$B$4:$E$64,CNTT!$F$4:$I$64),MATCH(DATEDIF(D10,DATE($X$4,$W$4,$V$4),"m"),CNTT!$A$4:$A$64,0),0)),CNTT!$B$3:$E$3),LOOKUP(2,1/(G10&gt;=INDEX(IF(E10="x",CNTT!$B$70:$E$93,CNTT!$F$70:$I$93),MATCH(DATEDIF(D10,DATE($X$4,$W$4,$V$4),"m"),CNTT!$A$70:$A$93,0),0)),CNTT!$B$69:$E$69))</f>
        <v>bt</v>
      </c>
      <c r="I10" s="145">
        <v>77</v>
      </c>
      <c r="J10" s="146" t="str">
        <f>IF(DATEDIF(D10,DATE($X$4,$W$4,$V$4),"m")&lt;=60,LOOKUP(2,1/(I10&gt;=INDEX(IF(E10="x",CCTT!$B$4:$E$64,CCTT!$F$4:$I$64),MATCH(DATEDIF(D10,DATE($X$4,$W$4,$V$4),"m"),CCTT!$A$4:$A$64,0),0)),CCTT!$B$3:$E$3),LOOKUP(2,1/(I10&gt;=INDEX(IF(E10="x",CCTT!$B$70:$E$93,CCTT!$F$70:$I$93),MATCH(DATEDIF(D10,DATE($X$4,$W$4,$V$4),"m"),CCTT!$A$70:$A$93,0),0)),CCTT!B$69:E$69))</f>
        <v>bt</v>
      </c>
      <c r="K10" s="146" t="s">
        <v>25</v>
      </c>
      <c r="L10" s="145" t="s">
        <v>22</v>
      </c>
      <c r="M10" s="145" t="s">
        <v>22</v>
      </c>
      <c r="N10" s="145" t="s">
        <v>22</v>
      </c>
      <c r="O10" s="145" t="s">
        <v>22</v>
      </c>
      <c r="P10" s="145" t="s">
        <v>22</v>
      </c>
      <c r="Q10" s="145" t="s">
        <v>22</v>
      </c>
      <c r="R10" s="147" t="s">
        <v>23</v>
      </c>
      <c r="S10" s="148" t="str">
        <f>PROPER(B10)</f>
        <v>Trương Ng. Khánh</v>
      </c>
      <c r="T10" s="148">
        <f>DATEDIF(D10,DATE($X$4,$W$4,$V$4),"m")</f>
        <v>20</v>
      </c>
      <c r="U10" s="148">
        <f>G10/(I10/100)^2</f>
        <v>17.034913138809241</v>
      </c>
      <c r="W10" s="145"/>
      <c r="Y10" s="146">
        <f>COUNTIF(H10:H22,Y9)</f>
        <v>13</v>
      </c>
      <c r="Z10" s="146">
        <f>COUNTIF(H10:H22,Z9)</f>
        <v>0</v>
      </c>
      <c r="AA10" s="146">
        <f>COUNTIF(H10:H22,AA9)</f>
        <v>0</v>
      </c>
      <c r="AB10" s="146">
        <f>COUNTIF(J10:J22,AB9)</f>
        <v>13</v>
      </c>
      <c r="AC10" s="146">
        <f>COUNTIF(J10:J22,AC9)</f>
        <v>0</v>
      </c>
      <c r="AD10" s="146">
        <f>COUNTIF(J10:J22,AD9)</f>
        <v>0</v>
      </c>
      <c r="AE10" s="146">
        <f>COUNTIF(K10:K22,AE9)</f>
        <v>13</v>
      </c>
      <c r="AF10" s="146">
        <f>COUNTIF(K10:K22,AF9)</f>
        <v>0</v>
      </c>
      <c r="AG10" s="146">
        <f>COUNTIF(K10:K22,AG9)</f>
        <v>0</v>
      </c>
      <c r="AH10" s="146">
        <f>COUNTIF(K10:K22,AH9)</f>
        <v>0</v>
      </c>
      <c r="AI10" s="146">
        <f>COUNTIF(R10:R22,AI9)</f>
        <v>12</v>
      </c>
      <c r="AJ10" s="146">
        <f>COUNTIF(R10:R22,AJ9)</f>
        <v>1</v>
      </c>
      <c r="AK10" s="146">
        <f>COUNTIF(R10:R22,AK9)</f>
        <v>0</v>
      </c>
    </row>
    <row r="11" spans="1:37" s="148" customFormat="1" ht="16.8">
      <c r="A11" s="138">
        <v>2</v>
      </c>
      <c r="B11" s="139" t="s">
        <v>211</v>
      </c>
      <c r="C11" s="149" t="s">
        <v>157</v>
      </c>
      <c r="D11" s="151">
        <v>45684</v>
      </c>
      <c r="E11" s="142" t="s">
        <v>189</v>
      </c>
      <c r="F11" s="150"/>
      <c r="G11" s="144">
        <v>12</v>
      </c>
      <c r="H11" s="145" t="str">
        <f>IF(DATEDIF(D11,DATE($X$4,$W$4,$V$4),"m")&lt;=60,LOOKUP(2,1/(G11&gt;=INDEX(IF(E11="x",CNTT!$B$4:$E$64,CNTT!$F$4:$I$64),MATCH(DATEDIF(D11,DATE($X$4,$W$4,$V$4),"m"),CNTT!$A$4:$A$64,0),0)),CNTT!$B$3:$E$3),LOOKUP(2,1/(G11&gt;=INDEX(IF(E11="x",CNTT!$B$70:$E$93,CNTT!$F$70:$I$93),MATCH(DATEDIF(D11,DATE($X$4,$W$4,$V$4),"m"),CNTT!$A$70:$A$93,0),0)),CNTT!$B$69:$E$69))</f>
        <v>bt</v>
      </c>
      <c r="I11" s="145">
        <v>81</v>
      </c>
      <c r="J11" s="146" t="str">
        <f>IF(DATEDIF(D11,DATE($X$4,$W$4,$V$4),"m")&lt;=60,LOOKUP(2,1/(I11&gt;=INDEX(IF(E11="x",CCTT!$B$4:$E$64,CCTT!$F$4:$I$64),MATCH(DATEDIF(D11,DATE($X$4,$W$4,$V$4),"m"),CCTT!$A$4:$A$64,0),0)),CCTT!$B$3:$E$3),LOOKUP(2,1/(I11&gt;=INDEX(IF(E11="x",CCTT!$B$70:$E$93,CCTT!$F$70:$I$93),MATCH(DATEDIF(D11,DATE($X$4,$W$4,$V$4),"m"),CCTT!$A$70:$A$93,0),0)),CCTT!B$69:E$69))</f>
        <v>bt</v>
      </c>
      <c r="K11" s="146" t="str">
        <f>IF(DATEDIF(D11,DATE($X$4,$W$4,$V$4),"m")&lt;24,LOOKUP(2,1/(G11&gt;=INDEX(IF(E11="x",CNTCC!$B$4:$F$134,CNTCC!$F$4),MATCH(I11,CNTCC!$A$4:$A$134,0),0)),CNTCC!$B$3:$F$3),IF(AND(DATEDIF(D11,DATE($X$4,$W$4,$V$4),"m")&gt;=24,DATEDIF(D11,DATE($X$4,$W$4,$V$4),"m")&lt;=60),LOOKUP(2,1/(G11&gt;=INDEX(IF(E11="x",CNTCC!$B$141:$F$251,CNTCC!$G$141:$K$251),MATCH(I11,CNTCC!$A$141:$A$251,0),0)),CNTCC!$B$140:$F$140),0))</f>
        <v>bt</v>
      </c>
      <c r="L11" s="145" t="s">
        <v>22</v>
      </c>
      <c r="M11" s="145" t="s">
        <v>22</v>
      </c>
      <c r="N11" s="145" t="s">
        <v>22</v>
      </c>
      <c r="O11" s="145" t="s">
        <v>22</v>
      </c>
      <c r="P11" s="145" t="s">
        <v>22</v>
      </c>
      <c r="Q11" s="145" t="s">
        <v>22</v>
      </c>
      <c r="R11" s="147" t="s">
        <v>23</v>
      </c>
      <c r="S11" s="148" t="str">
        <f t="shared" ref="S11:S22" si="0">PROPER(B11)</f>
        <v>Đặng Nguyễn Minh</v>
      </c>
      <c r="T11" s="148">
        <f t="shared" ref="T11:T22" si="1">DATEDIF(D11,DATE($X$4,$W$4,$V$4),"m")</f>
        <v>19</v>
      </c>
      <c r="U11" s="148">
        <f t="shared" ref="U11:U22" si="2">G11/(I11/100)^2</f>
        <v>18.289894833104707</v>
      </c>
      <c r="Y11" s="148">
        <f>SUM(Y10:AA10)</f>
        <v>13</v>
      </c>
    </row>
    <row r="12" spans="1:37" s="148" customFormat="1" ht="16.8">
      <c r="A12" s="138">
        <v>3</v>
      </c>
      <c r="B12" s="139" t="s">
        <v>212</v>
      </c>
      <c r="C12" s="149" t="s">
        <v>155</v>
      </c>
      <c r="D12" s="151">
        <v>45562</v>
      </c>
      <c r="E12" s="142" t="s">
        <v>189</v>
      </c>
      <c r="F12" s="143"/>
      <c r="G12" s="144">
        <v>11.3</v>
      </c>
      <c r="H12" s="145" t="str">
        <f>IF(DATEDIF(D12,DATE($X$4,$W$4,$V$4),"m")&lt;=60,LOOKUP(2,1/(G12&gt;=INDEX(IF(E12="x",CNTT!$B$4:$E$64,CNTT!$F$4:$I$64),MATCH(DATEDIF(D12,DATE($X$4,$W$4,$V$4),"m"),CNTT!$A$4:$A$64,0),0)),CNTT!$B$3:$E$3),LOOKUP(2,1/(G12&gt;=INDEX(IF(E12="x",CNTT!$B$70:$E$93,CNTT!$F$70:$I$93),MATCH(DATEDIF(D12,DATE($X$4,$W$4,$V$4),"m"),CNTT!$A$70:$A$93,0),0)),CNTT!$B$69:$E$69))</f>
        <v>bt</v>
      </c>
      <c r="I12" s="145">
        <v>82</v>
      </c>
      <c r="J12" s="146" t="str">
        <f>IF(DATEDIF(D12,DATE($X$4,$W$4,$V$4),"m")&lt;=60,LOOKUP(2,1/(I12&gt;=INDEX(IF(E12="x",CCTT!$B$4:$E$64,CCTT!$F$4:$I$64),MATCH(DATEDIF(D12,DATE($X$4,$W$4,$V$4),"m"),CCTT!$A$4:$A$64,0),0)),CCTT!$B$3:$E$3),LOOKUP(2,1/(I12&gt;=INDEX(IF(E12="x",CCTT!$B$70:$E$93,CCTT!$F$70:$I$93),MATCH(DATEDIF(D12,DATE($X$4,$W$4,$V$4),"m"),CCTT!$A$70:$A$93,0),0)),CCTT!B$69:E$69))</f>
        <v>bt</v>
      </c>
      <c r="K12" s="146" t="str">
        <f>IF(DATEDIF(D12,DATE($X$4,$W$4,$V$4),"m")&lt;24,LOOKUP(2,1/(G12&gt;=INDEX(IF(E12="x",CNTCC!$B$4:$F$134,CNTCC!$F$4),MATCH(I12,CNTCC!$A$4:$A$134,0),0)),CNTCC!$B$3:$F$3),IF(AND(DATEDIF(D12,DATE($X$4,$W$4,$V$4),"m")&gt;=24,DATEDIF(D12,DATE($X$4,$W$4,$V$4),"m")&lt;=60),LOOKUP(2,1/(G12&gt;=INDEX(IF(E12="x",CNTCC!$B$141:$F$251,CNTCC!$G$141:$K$251),MATCH(I12,CNTCC!$A$141:$A$251,0),0)),CNTCC!$B$140:$F$140),0))</f>
        <v>bt</v>
      </c>
      <c r="L12" s="145" t="s">
        <v>22</v>
      </c>
      <c r="M12" s="145" t="s">
        <v>22</v>
      </c>
      <c r="N12" s="145" t="s">
        <v>22</v>
      </c>
      <c r="O12" s="145" t="s">
        <v>22</v>
      </c>
      <c r="P12" s="145" t="s">
        <v>22</v>
      </c>
      <c r="Q12" s="145" t="s">
        <v>22</v>
      </c>
      <c r="R12" s="147" t="s">
        <v>23</v>
      </c>
      <c r="S12" s="148" t="str">
        <f t="shared" si="0"/>
        <v>Mai Hưng</v>
      </c>
      <c r="T12" s="148">
        <f t="shared" si="1"/>
        <v>23</v>
      </c>
      <c r="U12" s="148">
        <f t="shared" si="2"/>
        <v>16.805472932778112</v>
      </c>
      <c r="Y12" s="148">
        <f>SUM(AB10:AD10)</f>
        <v>13</v>
      </c>
    </row>
    <row r="13" spans="1:37" s="148" customFormat="1" ht="18" customHeight="1">
      <c r="A13" s="138">
        <v>4</v>
      </c>
      <c r="B13" s="139" t="s">
        <v>213</v>
      </c>
      <c r="C13" s="149" t="s">
        <v>155</v>
      </c>
      <c r="D13" s="151">
        <v>45576</v>
      </c>
      <c r="E13" s="142" t="s">
        <v>189</v>
      </c>
      <c r="F13" s="143"/>
      <c r="G13" s="144">
        <v>12.3</v>
      </c>
      <c r="H13" s="145" t="str">
        <f>IF(DATEDIF(D13,DATE($X$4,$W$4,$V$4),"m")&lt;=60,LOOKUP(2,1/(G13&gt;=INDEX(IF(E13="x",CNTT!$B$4:$E$64,CNTT!$F$4:$I$64),MATCH(DATEDIF(D13,DATE($X$4,$W$4,$V$4),"m"),CNTT!$A$4:$A$64,0),0)),CNTT!$B$3:$E$3),LOOKUP(2,1/(G13&gt;=INDEX(IF(E13="x",CNTT!$B$70:$E$93,CNTT!$F$70:$I$93),MATCH(DATEDIF(D13,DATE($X$4,$W$4,$V$4),"m"),CNTT!$A$70:$A$93,0),0)),CNTT!$B$69:$E$69))</f>
        <v>bt</v>
      </c>
      <c r="I13" s="145">
        <v>84</v>
      </c>
      <c r="J13" s="146" t="str">
        <f>IF(DATEDIF(D13,DATE($X$4,$W$4,$V$4),"m")&lt;=60,LOOKUP(2,1/(I13&gt;=INDEX(IF(E13="x",CCTT!$B$4:$E$64,CCTT!$F$4:$I$64),MATCH(DATEDIF(D13,DATE($X$4,$W$4,$V$4),"m"),CCTT!$A$4:$A$64,0),0)),CCTT!$B$3:$E$3),LOOKUP(2,1/(I13&gt;=INDEX(IF(E13="x",CCTT!$B$70:$E$93,CCTT!$F$70:$I$93),MATCH(DATEDIF(D13,DATE($X$4,$W$4,$V$4),"m"),CCTT!$A$70:$A$93,0),0)),CCTT!B$69:E$69))</f>
        <v>bt</v>
      </c>
      <c r="K13" s="146" t="str">
        <f>IF(DATEDIF(D13,DATE($X$4,$W$4,$V$4),"m")&lt;24,LOOKUP(2,1/(G13&gt;=INDEX(IF(E13="x",CNTCC!$B$4:$F$134,CNTCC!$F$4),MATCH(I13,CNTCC!$A$4:$A$134,0),0)),CNTCC!$B$3:$F$3),IF(AND(DATEDIF(D13,DATE($X$4,$W$4,$V$4),"m")&gt;=24,DATEDIF(D13,DATE($X$4,$W$4,$V$4),"m")&lt;=60),LOOKUP(2,1/(G13&gt;=INDEX(IF(E13="x",CNTCC!$B$141:$F$251,CNTCC!$G$141:$K$251),MATCH(I13,CNTCC!$A$141:$A$251,0),0)),CNTCC!$B$140:$F$140),0))</f>
        <v>bt</v>
      </c>
      <c r="L13" s="145" t="s">
        <v>22</v>
      </c>
      <c r="M13" s="145" t="s">
        <v>22</v>
      </c>
      <c r="N13" s="145" t="s">
        <v>22</v>
      </c>
      <c r="O13" s="145" t="s">
        <v>22</v>
      </c>
      <c r="P13" s="145" t="s">
        <v>22</v>
      </c>
      <c r="Q13" s="145" t="s">
        <v>22</v>
      </c>
      <c r="R13" s="147" t="s">
        <v>23</v>
      </c>
      <c r="S13" s="148" t="str">
        <f t="shared" si="0"/>
        <v>Ngô Đăng</v>
      </c>
      <c r="T13" s="148">
        <f t="shared" si="1"/>
        <v>22</v>
      </c>
      <c r="U13" s="148">
        <f t="shared" si="2"/>
        <v>17.431972789115651</v>
      </c>
      <c r="Y13" s="148">
        <f>SUM(AE10:AH10)</f>
        <v>13</v>
      </c>
    </row>
    <row r="14" spans="1:37" s="148" customFormat="1" ht="16.8">
      <c r="A14" s="138">
        <v>5</v>
      </c>
      <c r="B14" s="152" t="s">
        <v>214</v>
      </c>
      <c r="C14" s="153" t="s">
        <v>164</v>
      </c>
      <c r="D14" s="151">
        <v>45637</v>
      </c>
      <c r="E14" s="142"/>
      <c r="F14" s="150" t="s">
        <v>189</v>
      </c>
      <c r="G14" s="144">
        <v>12.3</v>
      </c>
      <c r="H14" s="145" t="str">
        <f>IF(DATEDIF(D14,DATE($X$4,$W$4,$V$4),"m")&lt;=60,LOOKUP(2,1/(G14&gt;=INDEX(IF(E14="x",CNTT!$B$4:$E$64,CNTT!$F$4:$I$64),MATCH(DATEDIF(D14,DATE($X$4,$W$4,$V$4),"m"),CNTT!$A$4:$A$64,0),0)),CNTT!$B$3:$E$3),LOOKUP(2,1/(G14&gt;=INDEX(IF(E14="x",CNTT!$B$70:$E$93,CNTT!$F$70:$I$93),MATCH(DATEDIF(D14,DATE($X$4,$W$4,$V$4),"m"),CNTT!$A$70:$A$93,0),0)),CNTT!$B$69:$E$69))</f>
        <v>bt</v>
      </c>
      <c r="I14" s="145">
        <v>83</v>
      </c>
      <c r="J14" s="146" t="str">
        <f>IF(DATEDIF(D14,DATE($X$4,$W$4,$V$4),"m")&lt;=60,LOOKUP(2,1/(I14&gt;=INDEX(IF(E14="x",CCTT!$B$4:$E$64,CCTT!$F$4:$I$64),MATCH(DATEDIF(D14,DATE($X$4,$W$4,$V$4),"m"),CCTT!$A$4:$A$64,0),0)),CCTT!$B$3:$E$3),LOOKUP(2,1/(I14&gt;=INDEX(IF(E14="x",CCTT!$B$70:$E$93,CCTT!$F$70:$I$93),MATCH(DATEDIF(D14,DATE($X$4,$W$4,$V$4),"m"),CCTT!$A$70:$A$93,0),0)),CCTT!B$69:E$69))</f>
        <v>bt</v>
      </c>
      <c r="K14" s="146" t="s">
        <v>25</v>
      </c>
      <c r="L14" s="145" t="s">
        <v>22</v>
      </c>
      <c r="M14" s="155" t="s">
        <v>47</v>
      </c>
      <c r="N14" s="145" t="s">
        <v>22</v>
      </c>
      <c r="O14" s="145" t="s">
        <v>22</v>
      </c>
      <c r="P14" s="145" t="s">
        <v>22</v>
      </c>
      <c r="Q14" s="145" t="s">
        <v>22</v>
      </c>
      <c r="R14" s="147" t="s">
        <v>57</v>
      </c>
      <c r="S14" s="148" t="str">
        <f t="shared" si="0"/>
        <v>Trần Ngọc Thiên</v>
      </c>
      <c r="T14" s="148">
        <f t="shared" si="1"/>
        <v>20</v>
      </c>
      <c r="U14" s="148">
        <f t="shared" si="2"/>
        <v>17.854550733052694</v>
      </c>
      <c r="Y14" s="148">
        <f>SUM(AI10:AK10)</f>
        <v>13</v>
      </c>
    </row>
    <row r="15" spans="1:37" s="148" customFormat="1" ht="16.8">
      <c r="A15" s="138">
        <v>6</v>
      </c>
      <c r="B15" s="139" t="s">
        <v>215</v>
      </c>
      <c r="C15" s="149" t="s">
        <v>216</v>
      </c>
      <c r="D15" s="154">
        <v>45639</v>
      </c>
      <c r="E15" s="142"/>
      <c r="F15" s="150" t="s">
        <v>189</v>
      </c>
      <c r="G15" s="144">
        <v>12</v>
      </c>
      <c r="H15" s="145" t="str">
        <f>IF(DATEDIF(D15,DATE($X$4,$W$4,$V$4),"m")&lt;=60,LOOKUP(2,1/(G15&gt;=INDEX(IF(E15="x",CNTT!$B$4:$E$64,CNTT!$F$4:$I$64),MATCH(DATEDIF(D15,DATE($X$4,$W$4,$V$4),"m"),CNTT!$A$4:$A$64,0),0)),CNTT!$B$3:$E$3),LOOKUP(2,1/(G15&gt;=INDEX(IF(E15="x",CNTT!$B$70:$E$93,CNTT!$F$70:$I$93),MATCH(DATEDIF(D15,DATE($X$4,$W$4,$V$4),"m"),CNTT!$A$70:$A$93,0),0)),CNTT!$B$69:$E$69))</f>
        <v>bt</v>
      </c>
      <c r="I15" s="145">
        <v>80</v>
      </c>
      <c r="J15" s="146" t="str">
        <f>IF(DATEDIF(D15,DATE($X$4,$W$4,$V$4),"m")&lt;=60,LOOKUP(2,1/(I15&gt;=INDEX(IF(E15="x",CCTT!$B$4:$E$64,CCTT!$F$4:$I$64),MATCH(DATEDIF(D15,DATE($X$4,$W$4,$V$4),"m"),CCTT!$A$4:$A$64,0),0)),CCTT!$B$3:$E$3),LOOKUP(2,1/(I15&gt;=INDEX(IF(E15="x",CCTT!$B$70:$E$93,CCTT!$F$70:$I$93),MATCH(DATEDIF(D15,DATE($X$4,$W$4,$V$4),"m"),CCTT!$A$70:$A$93,0),0)),CCTT!B$69:E$69))</f>
        <v>bt</v>
      </c>
      <c r="K15" s="146" t="s">
        <v>25</v>
      </c>
      <c r="L15" s="145" t="s">
        <v>22</v>
      </c>
      <c r="M15" s="145" t="s">
        <v>22</v>
      </c>
      <c r="N15" s="145" t="s">
        <v>22</v>
      </c>
      <c r="O15" s="145" t="s">
        <v>22</v>
      </c>
      <c r="P15" s="145" t="s">
        <v>22</v>
      </c>
      <c r="Q15" s="145" t="s">
        <v>22</v>
      </c>
      <c r="R15" s="147" t="s">
        <v>23</v>
      </c>
      <c r="S15" s="148" t="str">
        <f t="shared" si="0"/>
        <v>Văn Trúc</v>
      </c>
      <c r="T15" s="148">
        <f t="shared" si="1"/>
        <v>20</v>
      </c>
      <c r="U15" s="148">
        <f t="shared" si="2"/>
        <v>18.749999999999996</v>
      </c>
    </row>
    <row r="16" spans="1:37" s="148" customFormat="1" ht="16.8">
      <c r="A16" s="138">
        <v>7</v>
      </c>
      <c r="B16" s="139" t="s">
        <v>168</v>
      </c>
      <c r="C16" s="140" t="s">
        <v>217</v>
      </c>
      <c r="D16" s="151">
        <v>45629</v>
      </c>
      <c r="E16" s="142" t="s">
        <v>189</v>
      </c>
      <c r="F16" s="150"/>
      <c r="G16" s="144">
        <v>10.1</v>
      </c>
      <c r="H16" s="145" t="str">
        <f>IF(DATEDIF(D16,DATE($X$4,$W$4,$V$4),"m")&lt;=60,LOOKUP(2,1/(G16&gt;=INDEX(IF(E16="x",CNTT!$B$4:$E$64,CNTT!$F$4:$I$64),MATCH(DATEDIF(D16,DATE($X$4,$W$4,$V$4),"m"),CNTT!$A$4:$A$64,0),0)),CNTT!$B$3:$E$3),LOOKUP(2,1/(G16&gt;=INDEX(IF(E16="x",CNTT!$B$70:$E$93,CNTT!$F$70:$I$93),MATCH(DATEDIF(D16,DATE($X$4,$W$4,$V$4),"m"),CNTT!$A$70:$A$93,0),0)),CNTT!$B$69:$E$69))</f>
        <v>bt</v>
      </c>
      <c r="I16" s="145">
        <v>78</v>
      </c>
      <c r="J16" s="146" t="s">
        <v>25</v>
      </c>
      <c r="K16" s="146" t="str">
        <f>IF(DATEDIF(D16,DATE($X$4,$W$4,$V$4),"m")&lt;24,LOOKUP(2,1/(G16&gt;=INDEX(IF(E16="x",CNTCC!$B$4:$F$134,CNTCC!$F$4),MATCH(I16,CNTCC!$A$4:$A$134,0),0)),CNTCC!$B$3:$F$3),IF(AND(DATEDIF(D16,DATE($X$4,$W$4,$V$4),"m")&gt;=24,DATEDIF(D16,DATE($X$4,$W$4,$V$4),"m")&lt;=60),LOOKUP(2,1/(G16&gt;=INDEX(IF(E16="x",CNTCC!$B$141:$F$251,CNTCC!$G$141:$K$251),MATCH(I16,CNTCC!$A$141:$A$251,0),0)),CNTCC!$B$140:$F$140),0))</f>
        <v>bt</v>
      </c>
      <c r="L16" s="145" t="s">
        <v>22</v>
      </c>
      <c r="M16" s="145" t="s">
        <v>22</v>
      </c>
      <c r="N16" s="145" t="s">
        <v>22</v>
      </c>
      <c r="O16" s="145" t="s">
        <v>22</v>
      </c>
      <c r="P16" s="145" t="s">
        <v>22</v>
      </c>
      <c r="Q16" s="145" t="s">
        <v>22</v>
      </c>
      <c r="R16" s="147" t="s">
        <v>23</v>
      </c>
      <c r="S16" s="148" t="str">
        <f t="shared" si="0"/>
        <v>Nguyễn Bảo</v>
      </c>
      <c r="T16" s="148">
        <f t="shared" si="1"/>
        <v>20</v>
      </c>
      <c r="U16" s="148">
        <f t="shared" si="2"/>
        <v>16.600920447074291</v>
      </c>
    </row>
    <row r="17" spans="1:21" s="148" customFormat="1" ht="16.8">
      <c r="A17" s="138">
        <v>8</v>
      </c>
      <c r="B17" s="139" t="s">
        <v>218</v>
      </c>
      <c r="C17" s="140" t="s">
        <v>181</v>
      </c>
      <c r="D17" s="151">
        <v>45583</v>
      </c>
      <c r="E17" s="142" t="s">
        <v>189</v>
      </c>
      <c r="F17" s="150"/>
      <c r="G17" s="144">
        <v>11.7</v>
      </c>
      <c r="H17" s="145" t="str">
        <f>IF(DATEDIF(D17,DATE($X$4,$W$4,$V$4),"m")&lt;=60,LOOKUP(2,1/(G17&gt;=INDEX(IF(E17="x",CNTT!$B$4:$E$64,CNTT!$F$4:$I$64),MATCH(DATEDIF(D17,DATE($X$4,$W$4,$V$4),"m"),CNTT!$A$4:$A$64,0),0)),CNTT!$B$3:$E$3),LOOKUP(2,1/(G17&gt;=INDEX(IF(E17="x",CNTT!$B$70:$E$93,CNTT!$F$70:$I$93),MATCH(DATEDIF(D17,DATE($X$4,$W$4,$V$4),"m"),CNTT!$A$70:$A$93,0),0)),CNTT!$B$69:$E$69))</f>
        <v>bt</v>
      </c>
      <c r="I17" s="145">
        <v>81</v>
      </c>
      <c r="J17" s="146" t="str">
        <f>IF(DATEDIF(D17,DATE($X$4,$W$4,$V$4),"m")&lt;=60,LOOKUP(2,1/(I17&gt;=INDEX(IF(E17="x",CCTT!$B$4:$E$64,CCTT!$F$4:$I$64),MATCH(DATEDIF(D17,DATE($X$4,$W$4,$V$4),"m"),CCTT!$A$4:$A$64,0),0)),CCTT!$B$3:$E$3),LOOKUP(2,1/(I17&gt;=INDEX(IF(E17="x",CCTT!$B$70:$E$93,CCTT!$F$70:$I$93),MATCH(DATEDIF(D17,DATE($X$4,$W$4,$V$4),"m"),CCTT!$A$70:$A$93,0),0)),CCTT!B$69:E$69))</f>
        <v>bt</v>
      </c>
      <c r="K17" s="146" t="str">
        <f>IF(DATEDIF(D17,DATE($X$4,$W$4,$V$4),"m")&lt;24,LOOKUP(2,1/(G17&gt;=INDEX(IF(E17="x",CNTCC!$B$4:$F$134,CNTCC!$F$4),MATCH(I17,CNTCC!$A$4:$A$134,0),0)),CNTCC!$B$3:$F$3),IF(AND(DATEDIF(D17,DATE($X$4,$W$4,$V$4),"m")&gt;=24,DATEDIF(D17,DATE($X$4,$W$4,$V$4),"m")&lt;=60),LOOKUP(2,1/(G17&gt;=INDEX(IF(E17="x",CNTCC!$B$141:$F$251,CNTCC!$G$141:$K$251),MATCH(I17,CNTCC!$A$141:$A$251,0),0)),CNTCC!$B$140:$F$140),0))</f>
        <v>bt</v>
      </c>
      <c r="L17" s="145" t="s">
        <v>22</v>
      </c>
      <c r="M17" s="145" t="s">
        <v>22</v>
      </c>
      <c r="N17" s="145" t="s">
        <v>22</v>
      </c>
      <c r="O17" s="145" t="s">
        <v>22</v>
      </c>
      <c r="P17" s="145" t="s">
        <v>22</v>
      </c>
      <c r="Q17" s="145" t="s">
        <v>22</v>
      </c>
      <c r="R17" s="147" t="s">
        <v>23</v>
      </c>
      <c r="S17" s="148" t="str">
        <f t="shared" si="0"/>
        <v>Nguyễn Đại</v>
      </c>
      <c r="T17" s="148">
        <f t="shared" si="1"/>
        <v>22</v>
      </c>
      <c r="U17" s="148">
        <f t="shared" si="2"/>
        <v>17.832647462277087</v>
      </c>
    </row>
    <row r="18" spans="1:21" s="148" customFormat="1" ht="16.8">
      <c r="A18" s="138">
        <v>9</v>
      </c>
      <c r="B18" s="139" t="s">
        <v>219</v>
      </c>
      <c r="C18" s="140" t="s">
        <v>181</v>
      </c>
      <c r="D18" s="151">
        <v>45709</v>
      </c>
      <c r="E18" s="142" t="s">
        <v>189</v>
      </c>
      <c r="F18" s="150"/>
      <c r="G18" s="144">
        <v>10.7</v>
      </c>
      <c r="H18" s="145" t="str">
        <f>IF(DATEDIF(D18,DATE($X$4,$W$4,$V$4),"m")&lt;=60,LOOKUP(2,1/(G18&gt;=INDEX(IF(E18="x",CNTT!$B$4:$E$64,CNTT!$F$4:$I$64),MATCH(DATEDIF(D18,DATE($X$4,$W$4,$V$4),"m"),CNTT!$A$4:$A$64,0),0)),CNTT!$B$3:$E$3),LOOKUP(2,1/(G18&gt;=INDEX(IF(E18="x",CNTT!$B$70:$E$93,CNTT!$F$70:$I$93),MATCH(DATEDIF(D18,DATE($X$4,$W$4,$V$4),"m"),CNTT!$A$70:$A$93,0),0)),CNTT!$B$69:$E$69))</f>
        <v>bt</v>
      </c>
      <c r="I18" s="145">
        <v>78</v>
      </c>
      <c r="J18" s="146" t="str">
        <f>IF(DATEDIF(D18,DATE($X$4,$W$4,$V$4),"m")&lt;=60,LOOKUP(2,1/(I18&gt;=INDEX(IF(E18="x",CCTT!$B$4:$E$64,CCTT!$F$4:$I$64),MATCH(DATEDIF(D18,DATE($X$4,$W$4,$V$4),"m"),CCTT!$A$4:$A$64,0),0)),CCTT!$B$3:$E$3),LOOKUP(2,1/(I18&gt;=INDEX(IF(E18="x",CCTT!$B$70:$E$93,CCTT!$F$70:$I$93),MATCH(DATEDIF(D18,DATE($X$4,$W$4,$V$4),"m"),CCTT!$A$70:$A$93,0),0)),CCTT!B$69:E$69))</f>
        <v>bt</v>
      </c>
      <c r="K18" s="146" t="str">
        <f>IF(DATEDIF(D18,DATE($X$4,$W$4,$V$4),"m")&lt;24,LOOKUP(2,1/(G18&gt;=INDEX(IF(E18="x",CNTCC!$B$4:$F$134,CNTCC!$F$4),MATCH(I18,CNTCC!$A$4:$A$134,0),0)),CNTCC!$B$3:$F$3),IF(AND(DATEDIF(D18,DATE($X$4,$W$4,$V$4),"m")&gt;=24,DATEDIF(D18,DATE($X$4,$W$4,$V$4),"m")&lt;=60),LOOKUP(2,1/(G18&gt;=INDEX(IF(E18="x",CNTCC!$B$141:$F$251,CNTCC!$G$141:$K$251),MATCH(I18,CNTCC!$A$141:$A$251,0),0)),CNTCC!$B$140:$F$140),0))</f>
        <v>bt</v>
      </c>
      <c r="L18" s="145" t="s">
        <v>22</v>
      </c>
      <c r="M18" s="145" t="s">
        <v>22</v>
      </c>
      <c r="N18" s="145" t="s">
        <v>22</v>
      </c>
      <c r="O18" s="145" t="s">
        <v>22</v>
      </c>
      <c r="P18" s="145" t="s">
        <v>22</v>
      </c>
      <c r="Q18" s="145" t="s">
        <v>22</v>
      </c>
      <c r="R18" s="147" t="s">
        <v>23</v>
      </c>
      <c r="S18" s="148" t="str">
        <f t="shared" si="0"/>
        <v>Lê Hoàng Nhật</v>
      </c>
      <c r="T18" s="148">
        <f t="shared" si="1"/>
        <v>18</v>
      </c>
      <c r="U18" s="148">
        <f t="shared" si="2"/>
        <v>17.587113740959893</v>
      </c>
    </row>
    <row r="19" spans="1:21" s="148" customFormat="1" ht="16.8">
      <c r="A19" s="138">
        <v>10</v>
      </c>
      <c r="B19" s="139" t="s">
        <v>220</v>
      </c>
      <c r="C19" s="140" t="s">
        <v>221</v>
      </c>
      <c r="D19" s="151">
        <v>45626</v>
      </c>
      <c r="E19" s="142" t="s">
        <v>189</v>
      </c>
      <c r="F19" s="150"/>
      <c r="G19" s="144">
        <v>12.2</v>
      </c>
      <c r="H19" s="145" t="str">
        <f>IF(DATEDIF(D19,DATE($X$4,$W$4,$V$4),"m")&lt;=60,LOOKUP(2,1/(G19&gt;=INDEX(IF(E19="x",CNTT!$B$4:$E$64,CNTT!$F$4:$I$64),MATCH(DATEDIF(D19,DATE($X$4,$W$4,$V$4),"m"),CNTT!$A$4:$A$64,0),0)),CNTT!$B$3:$E$3),LOOKUP(2,1/(G19&gt;=INDEX(IF(E19="x",CNTT!$B$70:$E$93,CNTT!$F$70:$I$93),MATCH(DATEDIF(D19,DATE($X$4,$W$4,$V$4),"m"),CNTT!$A$70:$A$93,0),0)),CNTT!$B$69:$E$69))</f>
        <v>bt</v>
      </c>
      <c r="I19" s="145">
        <v>81</v>
      </c>
      <c r="J19" s="146" t="str">
        <f>IF(DATEDIF(D19,DATE($X$4,$W$4,$V$4),"m")&lt;=60,LOOKUP(2,1/(I19&gt;=INDEX(IF(E19="x",CCTT!$B$4:$E$64,CCTT!$F$4:$I$64),MATCH(DATEDIF(D19,DATE($X$4,$W$4,$V$4),"m"),CCTT!$A$4:$A$64,0),0)),CCTT!$B$3:$E$3),LOOKUP(2,1/(I19&gt;=INDEX(IF(E19="x",CCTT!$B$70:$E$93,CCTT!$F$70:$I$93),MATCH(DATEDIF(D19,DATE($X$4,$W$4,$V$4),"m"),CCTT!$A$70:$A$93,0),0)),CCTT!B$69:E$69))</f>
        <v>bt</v>
      </c>
      <c r="K19" s="146" t="str">
        <f>IF(DATEDIF(D19,DATE($X$4,$W$4,$V$4),"m")&lt;24,LOOKUP(2,1/(G19&gt;=INDEX(IF(E19="x",CNTCC!$B$4:$F$134,CNTCC!$F$4),MATCH(I19,CNTCC!$A$4:$A$134,0),0)),CNTCC!$B$3:$F$3),IF(AND(DATEDIF(D19,DATE($X$4,$W$4,$V$4),"m")&gt;=24,DATEDIF(D19,DATE($X$4,$W$4,$V$4),"m")&lt;=60),LOOKUP(2,1/(G19&gt;=INDEX(IF(E19="x",CNTCC!$B$141:$F$251,CNTCC!$G$141:$K$251),MATCH(I19,CNTCC!$A$141:$A$251,0),0)),CNTCC!$B$140:$F$140),0))</f>
        <v>bt</v>
      </c>
      <c r="L19" s="145" t="s">
        <v>22</v>
      </c>
      <c r="M19" s="145" t="s">
        <v>22</v>
      </c>
      <c r="N19" s="145" t="s">
        <v>22</v>
      </c>
      <c r="O19" s="145" t="s">
        <v>22</v>
      </c>
      <c r="P19" s="145" t="s">
        <v>22</v>
      </c>
      <c r="Q19" s="145" t="s">
        <v>22</v>
      </c>
      <c r="R19" s="147" t="s">
        <v>23</v>
      </c>
      <c r="S19" s="148" t="str">
        <f t="shared" si="0"/>
        <v>Dương Thành</v>
      </c>
      <c r="T19" s="148">
        <f t="shared" si="1"/>
        <v>21</v>
      </c>
      <c r="U19" s="148">
        <f t="shared" si="2"/>
        <v>18.594726413656449</v>
      </c>
    </row>
    <row r="20" spans="1:21" s="148" customFormat="1" ht="16.8">
      <c r="A20" s="138">
        <v>11</v>
      </c>
      <c r="B20" s="139" t="s">
        <v>194</v>
      </c>
      <c r="C20" s="140" t="s">
        <v>222</v>
      </c>
      <c r="D20" s="151">
        <v>45628</v>
      </c>
      <c r="E20" s="142" t="s">
        <v>189</v>
      </c>
      <c r="F20" s="150"/>
      <c r="G20" s="144">
        <v>12</v>
      </c>
      <c r="H20" s="145" t="str">
        <f>IF(DATEDIF(D20,DATE($X$4,$W$4,$V$4),"m")&lt;=60,LOOKUP(2,1/(G20&gt;=INDEX(IF(E20="x",CNTT!$B$4:$E$64,CNTT!$F$4:$I$64),MATCH(DATEDIF(D20,DATE($X$4,$W$4,$V$4),"m"),CNTT!$A$4:$A$64,0),0)),CNTT!$B$3:$E$3),LOOKUP(2,1/(G20&gt;=INDEX(IF(E20="x",CNTT!$B$70:$E$93,CNTT!$F$70:$I$93),MATCH(DATEDIF(D20,DATE($X$4,$W$4,$V$4),"m"),CNTT!$A$70:$A$93,0),0)),CNTT!$B$69:$E$69))</f>
        <v>bt</v>
      </c>
      <c r="I20" s="145">
        <v>83</v>
      </c>
      <c r="J20" s="146" t="str">
        <f>IF(DATEDIF(D20,DATE($X$4,$W$4,$V$4),"m")&lt;=60,LOOKUP(2,1/(I20&gt;=INDEX(IF(E20="x",CCTT!$B$4:$E$64,CCTT!$F$4:$I$64),MATCH(DATEDIF(D20,DATE($X$4,$W$4,$V$4),"m"),CCTT!$A$4:$A$64,0),0)),CCTT!$B$3:$E$3),LOOKUP(2,1/(I20&gt;=INDEX(IF(E20="x",CCTT!$B$70:$E$93,CCTT!$F$70:$I$93),MATCH(DATEDIF(D20,DATE($X$4,$W$4,$V$4),"m"),CCTT!$A$70:$A$93,0),0)),CCTT!B$69:E$69))</f>
        <v>bt</v>
      </c>
      <c r="K20" s="146" t="str">
        <f>IF(DATEDIF(D20,DATE($X$4,$W$4,$V$4),"m")&lt;24,LOOKUP(2,1/(G20&gt;=INDEX(IF(E20="x",CNTCC!$B$4:$F$134,CNTCC!$F$4),MATCH(I20,CNTCC!$A$4:$A$134,0),0)),CNTCC!$B$3:$F$3),IF(AND(DATEDIF(D20,DATE($X$4,$W$4,$V$4),"m")&gt;=24,DATEDIF(D20,DATE($X$4,$W$4,$V$4),"m")&lt;=60),LOOKUP(2,1/(G20&gt;=INDEX(IF(E20="x",CNTCC!$B$141:$F$251,CNTCC!$G$141:$K$251),MATCH(I20,CNTCC!$A$141:$A$251,0),0)),CNTCC!$B$140:$F$140),0))</f>
        <v>bt</v>
      </c>
      <c r="L20" s="145" t="s">
        <v>22</v>
      </c>
      <c r="M20" s="145" t="s">
        <v>22</v>
      </c>
      <c r="N20" s="145" t="s">
        <v>22</v>
      </c>
      <c r="O20" s="145" t="s">
        <v>22</v>
      </c>
      <c r="P20" s="145" t="s">
        <v>22</v>
      </c>
      <c r="Q20" s="145" t="s">
        <v>22</v>
      </c>
      <c r="R20" s="147" t="s">
        <v>23</v>
      </c>
      <c r="S20" s="148" t="str">
        <f t="shared" si="0"/>
        <v>Trần Chí</v>
      </c>
      <c r="T20" s="148">
        <f t="shared" si="1"/>
        <v>20</v>
      </c>
      <c r="U20" s="148">
        <f t="shared" si="2"/>
        <v>17.419073885905068</v>
      </c>
    </row>
    <row r="21" spans="1:21" s="148" customFormat="1" ht="16.8">
      <c r="A21" s="138">
        <v>12</v>
      </c>
      <c r="B21" s="139" t="s">
        <v>223</v>
      </c>
      <c r="C21" s="140" t="s">
        <v>224</v>
      </c>
      <c r="D21" s="151">
        <v>45564</v>
      </c>
      <c r="E21" s="142" t="s">
        <v>189</v>
      </c>
      <c r="F21" s="150"/>
      <c r="G21" s="144">
        <v>11.7</v>
      </c>
      <c r="H21" s="145" t="str">
        <f>IF(DATEDIF(D21,DATE($X$4,$W$4,$V$4),"m")&lt;=60,LOOKUP(2,1/(G21&gt;=INDEX(IF(E21="x",CNTT!$B$4:$E$64,CNTT!$F$4:$I$64),MATCH(DATEDIF(D21,DATE($X$4,$W$4,$V$4),"m"),CNTT!$A$4:$A$64,0),0)),CNTT!$B$3:$E$3),LOOKUP(2,1/(G21&gt;=INDEX(IF(E21="x",CNTT!$B$70:$E$93,CNTT!$F$70:$I$93),MATCH(DATEDIF(D21,DATE($X$4,$W$4,$V$4),"m"),CNTT!$A$70:$A$93,0),0)),CNTT!$B$69:$E$69))</f>
        <v>bt</v>
      </c>
      <c r="I21" s="145">
        <v>83</v>
      </c>
      <c r="J21" s="146" t="str">
        <f>IF(DATEDIF(D21,DATE($X$4,$W$4,$V$4),"m")&lt;=60,LOOKUP(2,1/(I21&gt;=INDEX(IF(E21="x",CCTT!$B$4:$E$64,CCTT!$F$4:$I$64),MATCH(DATEDIF(D21,DATE($X$4,$W$4,$V$4),"m"),CCTT!$A$4:$A$64,0),0)),CCTT!$B$3:$E$3),LOOKUP(2,1/(I21&gt;=INDEX(IF(E21="x",CCTT!$B$70:$E$93,CCTT!$F$70:$I$93),MATCH(DATEDIF(D21,DATE($X$4,$W$4,$V$4),"m"),CCTT!$A$70:$A$93,0),0)),CCTT!B$69:E$69))</f>
        <v>bt</v>
      </c>
      <c r="K21" s="146" t="str">
        <f>IF(DATEDIF(D21,DATE($X$4,$W$4,$V$4),"m")&lt;24,LOOKUP(2,1/(G21&gt;=INDEX(IF(E21="x",CNTCC!$B$4:$F$134,CNTCC!$F$4),MATCH(I21,CNTCC!$A$4:$A$134,0),0)),CNTCC!$B$3:$F$3),IF(AND(DATEDIF(D21,DATE($X$4,$W$4,$V$4),"m")&gt;=24,DATEDIF(D21,DATE($X$4,$W$4,$V$4),"m")&lt;=60),LOOKUP(2,1/(G21&gt;=INDEX(IF(E21="x",CNTCC!$B$141:$F$251,CNTCC!$G$141:$K$251),MATCH(I21,CNTCC!$A$141:$A$251,0),0)),CNTCC!$B$140:$F$140),0))</f>
        <v>bt</v>
      </c>
      <c r="L21" s="145" t="s">
        <v>22</v>
      </c>
      <c r="M21" s="145" t="s">
        <v>22</v>
      </c>
      <c r="N21" s="145" t="s">
        <v>22</v>
      </c>
      <c r="O21" s="145" t="s">
        <v>22</v>
      </c>
      <c r="P21" s="145" t="s">
        <v>22</v>
      </c>
      <c r="Q21" s="145" t="s">
        <v>22</v>
      </c>
      <c r="R21" s="147" t="s">
        <v>23</v>
      </c>
      <c r="S21" s="148" t="str">
        <f t="shared" si="0"/>
        <v>Võ Thành</v>
      </c>
      <c r="T21" s="148">
        <f t="shared" si="1"/>
        <v>23</v>
      </c>
      <c r="U21" s="148">
        <f t="shared" si="2"/>
        <v>16.983597038757438</v>
      </c>
    </row>
    <row r="22" spans="1:21" s="148" customFormat="1" ht="16.8">
      <c r="A22" s="138">
        <v>13</v>
      </c>
      <c r="B22" s="139" t="s">
        <v>225</v>
      </c>
      <c r="C22" s="140" t="s">
        <v>226</v>
      </c>
      <c r="D22" s="151">
        <v>45624</v>
      </c>
      <c r="E22" s="142"/>
      <c r="F22" s="150" t="s">
        <v>189</v>
      </c>
      <c r="G22" s="144">
        <v>11.6</v>
      </c>
      <c r="H22" s="145" t="str">
        <f>IF(DATEDIF(D22,DATE($X$4,$W$4,$V$4),"m")&lt;=60,LOOKUP(2,1/(G22&gt;=INDEX(IF(E22="x",CNTT!$B$4:$E$64,CNTT!$F$4:$I$64),MATCH(DATEDIF(D22,DATE($X$4,$W$4,$V$4),"m"),CNTT!$A$4:$A$64,0),0)),CNTT!$B$3:$E$3),LOOKUP(2,1/(G22&gt;=INDEX(IF(E22="x",CNTT!$B$70:$E$93,CNTT!$F$70:$I$93),MATCH(DATEDIF(D22,DATE($X$4,$W$4,$V$4),"m"),CNTT!$A$70:$A$93,0),0)),CNTT!$B$69:$E$69))</f>
        <v>bt</v>
      </c>
      <c r="I22" s="145">
        <v>83</v>
      </c>
      <c r="J22" s="146" t="str">
        <f>IF(DATEDIF(D22,DATE($X$4,$W$4,$V$4),"m")&lt;=60,LOOKUP(2,1/(I22&gt;=INDEX(IF(E22="x",CCTT!$B$4:$E$64,CCTT!$F$4:$I$64),MATCH(DATEDIF(D22,DATE($X$4,$W$4,$V$4),"m"),CCTT!$A$4:$A$64,0),0)),CCTT!$B$3:$E$3),LOOKUP(2,1/(I22&gt;=INDEX(IF(E22="x",CCTT!$B$70:$E$93,CCTT!$F$70:$I$93),MATCH(DATEDIF(D22,DATE($X$4,$W$4,$V$4),"m"),CCTT!$A$70:$A$93,0),0)),CCTT!B$69:E$69))</f>
        <v>bt</v>
      </c>
      <c r="K22" s="146" t="s">
        <v>25</v>
      </c>
      <c r="L22" s="145" t="s">
        <v>22</v>
      </c>
      <c r="M22" s="145" t="s">
        <v>22</v>
      </c>
      <c r="N22" s="145" t="s">
        <v>22</v>
      </c>
      <c r="O22" s="145" t="s">
        <v>22</v>
      </c>
      <c r="P22" s="145" t="s">
        <v>22</v>
      </c>
      <c r="Q22" s="145" t="s">
        <v>22</v>
      </c>
      <c r="R22" s="147" t="s">
        <v>23</v>
      </c>
      <c r="S22" s="148" t="str">
        <f t="shared" si="0"/>
        <v>Cao Ngọc Bảo</v>
      </c>
      <c r="T22" s="148">
        <f t="shared" si="1"/>
        <v>21</v>
      </c>
      <c r="U22" s="148">
        <f t="shared" si="2"/>
        <v>16.83843808970823</v>
      </c>
    </row>
    <row r="23" spans="1:21" ht="16.8">
      <c r="A23" s="68"/>
      <c r="B23" s="74"/>
      <c r="C23" s="69"/>
      <c r="D23" s="75"/>
      <c r="E23" s="70"/>
      <c r="F23" s="70"/>
      <c r="G23" s="70"/>
      <c r="H23" s="71"/>
      <c r="I23" s="70"/>
      <c r="J23" s="94"/>
      <c r="K23" s="94"/>
      <c r="L23" s="71"/>
      <c r="M23" s="76"/>
      <c r="N23" s="71"/>
      <c r="O23" s="71"/>
      <c r="P23" s="71"/>
      <c r="Q23" s="71"/>
      <c r="R23" s="73"/>
    </row>
    <row r="24" spans="1:21" s="3" customFormat="1">
      <c r="A24" s="93"/>
      <c r="C24" s="13"/>
      <c r="D24" s="13" t="s">
        <v>24</v>
      </c>
      <c r="E24" s="13"/>
      <c r="F24" s="13"/>
      <c r="G24" s="14"/>
      <c r="H24" s="14"/>
      <c r="I24" s="14"/>
      <c r="J24" s="14"/>
      <c r="K24" s="14"/>
      <c r="L24" s="15"/>
      <c r="M24" s="15"/>
      <c r="N24" s="15"/>
      <c r="O24" s="15"/>
      <c r="P24" s="15"/>
      <c r="Q24" s="15"/>
      <c r="R24" s="14"/>
    </row>
    <row r="25" spans="1:21" s="3" customFormat="1">
      <c r="B25" s="15"/>
      <c r="C25" s="15"/>
      <c r="D25" s="15"/>
      <c r="E25" s="15"/>
      <c r="F25" s="15"/>
      <c r="G25" s="14"/>
      <c r="H25" s="14"/>
      <c r="I25" s="14"/>
      <c r="J25" s="14"/>
      <c r="K25" s="14"/>
      <c r="L25" s="15"/>
      <c r="M25" s="15"/>
      <c r="N25" s="15"/>
      <c r="O25" s="15"/>
      <c r="P25" s="15"/>
      <c r="Q25" s="15"/>
      <c r="R25" s="14"/>
    </row>
    <row r="26" spans="1:21" s="3" customFormat="1">
      <c r="A26" s="16" t="s">
        <v>25</v>
      </c>
      <c r="C26" s="15" t="s">
        <v>26</v>
      </c>
      <c r="D26" s="15"/>
      <c r="E26" s="15"/>
      <c r="F26" s="15"/>
      <c r="G26" s="14"/>
      <c r="H26" s="14"/>
      <c r="I26" s="16" t="s">
        <v>27</v>
      </c>
      <c r="J26" s="15"/>
      <c r="K26" s="15"/>
      <c r="L26" s="15" t="s">
        <v>28</v>
      </c>
      <c r="M26" s="15"/>
      <c r="N26" s="15"/>
      <c r="O26" s="15"/>
      <c r="P26" s="15"/>
      <c r="Q26" s="15"/>
      <c r="R26" s="14"/>
    </row>
    <row r="27" spans="1:21" s="3" customFormat="1">
      <c r="A27" s="16" t="s">
        <v>29</v>
      </c>
      <c r="C27" s="15" t="s">
        <v>30</v>
      </c>
      <c r="D27" s="15"/>
      <c r="E27" s="15"/>
      <c r="F27" s="15"/>
      <c r="G27" s="14"/>
      <c r="H27" s="14"/>
      <c r="I27" s="16" t="s">
        <v>31</v>
      </c>
      <c r="J27" s="15"/>
      <c r="K27" s="15"/>
      <c r="L27" s="15" t="s">
        <v>32</v>
      </c>
      <c r="M27" s="15"/>
      <c r="N27" s="15"/>
      <c r="O27" s="15"/>
      <c r="P27" s="15"/>
      <c r="Q27" s="15"/>
      <c r="R27" s="14"/>
    </row>
    <row r="28" spans="1:21" s="3" customFormat="1">
      <c r="A28" s="16" t="s">
        <v>33</v>
      </c>
      <c r="C28" s="15" t="s">
        <v>34</v>
      </c>
      <c r="D28" s="15"/>
      <c r="E28" s="15"/>
      <c r="F28" s="15"/>
      <c r="G28" s="14"/>
      <c r="H28" s="14"/>
      <c r="I28" s="16" t="s">
        <v>35</v>
      </c>
      <c r="J28" s="15"/>
      <c r="K28" s="15"/>
      <c r="L28" s="15" t="s">
        <v>36</v>
      </c>
      <c r="M28" s="15"/>
      <c r="N28" s="15"/>
      <c r="O28" s="15"/>
      <c r="P28" s="15"/>
      <c r="Q28" s="15"/>
      <c r="R28" s="14"/>
    </row>
    <row r="29" spans="1:21" s="3" customFormat="1">
      <c r="A29" s="16" t="s">
        <v>37</v>
      </c>
      <c r="C29" s="15" t="s">
        <v>38</v>
      </c>
      <c r="D29" s="15"/>
      <c r="E29" s="15"/>
      <c r="F29" s="15"/>
      <c r="G29" s="14"/>
      <c r="H29" s="14"/>
      <c r="I29" s="16" t="s">
        <v>39</v>
      </c>
      <c r="J29" s="15"/>
      <c r="K29" s="15"/>
      <c r="L29" s="15" t="s">
        <v>40</v>
      </c>
      <c r="M29" s="15"/>
      <c r="N29" s="15"/>
      <c r="O29" s="15"/>
      <c r="P29" s="15"/>
      <c r="Q29" s="15"/>
      <c r="R29" s="14"/>
    </row>
    <row r="30" spans="1:21">
      <c r="A30" s="16" t="s">
        <v>41</v>
      </c>
      <c r="C30" s="15" t="s">
        <v>42</v>
      </c>
      <c r="D30" s="15"/>
      <c r="E30" s="15"/>
      <c r="F30" s="15"/>
      <c r="G30" s="14"/>
      <c r="H30" s="14"/>
      <c r="I30" s="16" t="s">
        <v>43</v>
      </c>
      <c r="J30" s="15"/>
      <c r="K30" s="15"/>
      <c r="L30" s="15" t="s">
        <v>44</v>
      </c>
      <c r="M30" s="15"/>
      <c r="N30" s="15"/>
      <c r="O30" s="15"/>
      <c r="P30" s="15"/>
      <c r="Q30" s="15"/>
      <c r="R30" s="14"/>
    </row>
    <row r="31" spans="1:21">
      <c r="A31" s="4" t="s">
        <v>45</v>
      </c>
      <c r="C31" s="3" t="s">
        <v>46</v>
      </c>
      <c r="I31" s="5" t="s">
        <v>47</v>
      </c>
      <c r="L31" s="4" t="s">
        <v>48</v>
      </c>
    </row>
    <row r="32" spans="1:21">
      <c r="A32" s="4" t="s">
        <v>49</v>
      </c>
      <c r="C32" s="3" t="s">
        <v>50</v>
      </c>
      <c r="I32" s="5" t="s">
        <v>51</v>
      </c>
      <c r="L32" s="4" t="s">
        <v>52</v>
      </c>
    </row>
    <row r="33" spans="1:12">
      <c r="A33" s="4" t="s">
        <v>53</v>
      </c>
      <c r="C33" s="3" t="s">
        <v>54</v>
      </c>
      <c r="I33" s="5" t="s">
        <v>55</v>
      </c>
      <c r="L33" s="4" t="s">
        <v>56</v>
      </c>
    </row>
  </sheetData>
  <autoFilter ref="A9:WWA22"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8A92-DF41-4439-8362-D6EADB2151B9}">
  <sheetPr>
    <tabColor rgb="FF92D050"/>
  </sheetPr>
  <dimension ref="A1:AK33"/>
  <sheetViews>
    <sheetView zoomScale="79" zoomScaleNormal="79" zoomScaleSheetLayoutView="100" workbookViewId="0">
      <pane ySplit="9" topLeftCell="A10" activePane="bottomLeft" state="frozen"/>
      <selection activeCell="T34" sqref="T34"/>
      <selection pane="bottomLeft" activeCell="E19" activeCellId="3" sqref="B16:C16 B19:C19 E16:F16 E19:F19"/>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287</v>
      </c>
      <c r="K4" s="8" t="s">
        <v>288</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16.8">
      <c r="A10" s="138">
        <v>1</v>
      </c>
      <c r="B10" s="139" t="s">
        <v>272</v>
      </c>
      <c r="C10" s="140" t="s">
        <v>158</v>
      </c>
      <c r="D10" s="141">
        <v>45352</v>
      </c>
      <c r="E10" s="142" t="s">
        <v>189</v>
      </c>
      <c r="F10" s="143"/>
      <c r="G10" s="144">
        <v>13.2</v>
      </c>
      <c r="H10" s="145" t="str">
        <f>IF(DATEDIF(D10,DATE($X$4,$W$4,$V$4),"m")&lt;=60,LOOKUP(2,1/(G10&gt;=INDEX(IF(E10="x",CNTT!$B$4:$E$64,CNTT!$F$4:$I$64),MATCH(DATEDIF(D10,DATE($X$4,$W$4,$V$4),"m"),CNTT!$A$4:$A$64,0),0)),CNTT!$B$3:$E$3),LOOKUP(2,1/(G10&gt;=INDEX(IF(E10="x",CNTT!$B$70:$E$93,CNTT!$F$70:$I$93),MATCH(DATEDIF(D10,DATE($X$4,$W$4,$V$4),"m"),CNTT!$A$70:$A$93,0),0)),CNTT!$B$69:$E$69))</f>
        <v>bt</v>
      </c>
      <c r="I10" s="145">
        <v>89</v>
      </c>
      <c r="J10" s="146" t="str">
        <f>IF(DATEDIF(D10,DATE($X$4,$W$4,$V$4),"m")&lt;=60,LOOKUP(2,1/(I10&gt;=INDEX(IF(E10="x",CCTT!$B$4:$E$64,CCTT!$F$4:$I$64),MATCH(DATEDIF(D10,DATE($X$4,$W$4,$V$4),"m"),CCTT!$A$4:$A$64,0),0)),CCTT!$B$3:$E$3),LOOKUP(2,1/(I10&gt;=INDEX(IF(E10="x",CCTT!$B$70:$E$93,CCTT!$F$70:$I$93),MATCH(DATEDIF(D10,DATE($X$4,$W$4,$V$4),"m"),CCTT!$A$70:$A$93,0),0)),CCTT!B$69:E$69))</f>
        <v>bt</v>
      </c>
      <c r="K10" s="146" t="str">
        <f>IF(DATEDIF(D10,DATE($X$4,$W$4,$V$4),"m")&lt;24,LOOKUP(2,1/(G10&gt;=INDEX(IF(E10="x",CNTCC!$B$4:$F$134,CNTCC!$F$4),MATCH(I10,CNTCC!$A$4:$A$134,0),0)),CNTCC!$B$3:$F$3),IF(AND(DATEDIF(D10,DATE($X$4,$W$4,$V$4),"m")&gt;=24,DATEDIF(D10,DATE($X$4,$W$4,$V$4),"m")&lt;=60),LOOKUP(2,1/(G10&gt;=INDEX(IF(E10="x",CNTCC!$B$141:$F$251,CNTCC!$G$141:$K$251),MATCH(I10,CNTCC!$A$141:$A$251,0),0)),CNTCC!$B$140:$F$140),0))</f>
        <v>bt</v>
      </c>
      <c r="L10" s="145" t="s">
        <v>22</v>
      </c>
      <c r="M10" s="145" t="s">
        <v>22</v>
      </c>
      <c r="N10" s="145" t="s">
        <v>22</v>
      </c>
      <c r="O10" s="145" t="s">
        <v>22</v>
      </c>
      <c r="P10" s="145" t="s">
        <v>22</v>
      </c>
      <c r="Q10" s="145" t="s">
        <v>22</v>
      </c>
      <c r="R10" s="147" t="s">
        <v>23</v>
      </c>
      <c r="S10" s="148" t="str">
        <f>PROPER(B10)</f>
        <v xml:space="preserve">Nguyễn Quốc </v>
      </c>
      <c r="T10" s="148">
        <f>DATEDIF(D10,DATE($X$4,$W$4,$V$4),"m")</f>
        <v>29</v>
      </c>
      <c r="U10" s="148">
        <f>G10/(I10/100)^2</f>
        <v>16.664562555232923</v>
      </c>
      <c r="W10" s="145"/>
      <c r="Y10" s="146">
        <f>COUNTIF(H10:H22,Y9)</f>
        <v>13</v>
      </c>
      <c r="Z10" s="146">
        <f>COUNTIF(H10:H22,Z9)</f>
        <v>0</v>
      </c>
      <c r="AA10" s="146">
        <f>COUNTIF(H10:H22,AA9)</f>
        <v>0</v>
      </c>
      <c r="AB10" s="146">
        <f>COUNTIF(J10:J22,AB9)</f>
        <v>11</v>
      </c>
      <c r="AC10" s="146">
        <f>COUNTIF(J10:J22,AC9)</f>
        <v>2</v>
      </c>
      <c r="AD10" s="146">
        <f>COUNTIF(J10:J22,AD9)</f>
        <v>0</v>
      </c>
      <c r="AE10" s="146">
        <f>COUNTIF(K10:K22,AE9)</f>
        <v>13</v>
      </c>
      <c r="AF10" s="146">
        <f>COUNTIF(K10:K22,AF9)</f>
        <v>0</v>
      </c>
      <c r="AG10" s="146">
        <f>COUNTIF(K10:K22,AG9)</f>
        <v>0</v>
      </c>
      <c r="AH10" s="146">
        <f>COUNTIF(K10:K22,AH9)</f>
        <v>0</v>
      </c>
      <c r="AI10" s="146">
        <f>COUNTIF(R10:R22,AI9)</f>
        <v>11</v>
      </c>
      <c r="AJ10" s="146">
        <f>COUNTIF(R10:R22,AJ9)</f>
        <v>2</v>
      </c>
      <c r="AK10" s="146">
        <f>COUNTIF(R10:R22,AK9)</f>
        <v>0</v>
      </c>
    </row>
    <row r="11" spans="1:37" s="148" customFormat="1" ht="16.8">
      <c r="A11" s="138">
        <v>2</v>
      </c>
      <c r="B11" s="139" t="s">
        <v>273</v>
      </c>
      <c r="C11" s="149" t="s">
        <v>158</v>
      </c>
      <c r="D11" s="141">
        <v>45393</v>
      </c>
      <c r="E11" s="142"/>
      <c r="F11" s="150" t="s">
        <v>189</v>
      </c>
      <c r="G11" s="144">
        <v>11.2</v>
      </c>
      <c r="H11" s="145" t="str">
        <f>IF(DATEDIF(D11,DATE($X$4,$W$4,$V$4),"m")&lt;=60,LOOKUP(2,1/(G11&gt;=INDEX(IF(E11="x",CNTT!$B$4:$E$64,CNTT!$F$4:$I$64),MATCH(DATEDIF(D11,DATE($X$4,$W$4,$V$4),"m"),CNTT!$A$4:$A$64,0),0)),CNTT!$B$3:$E$3),LOOKUP(2,1/(G11&gt;=INDEX(IF(E11="x",CNTT!$B$70:$E$93,CNTT!$F$70:$I$93),MATCH(DATEDIF(D11,DATE($X$4,$W$4,$V$4),"m"),CNTT!$A$70:$A$93,0),0)),CNTT!$B$69:$E$69))</f>
        <v>bt</v>
      </c>
      <c r="I11" s="145">
        <v>82</v>
      </c>
      <c r="J11" s="146" t="s">
        <v>25</v>
      </c>
      <c r="K11" s="146" t="str">
        <f>IF(DATEDIF(D11,DATE($X$4,$W$4,$V$4),"m")&lt;24,LOOKUP(2,1/(G11&gt;=INDEX(IF(E11="x",CNTCC!$B$4:$F$134,CNTCC!$F$4),MATCH(I11,CNTCC!$A$4:$A$134,0),0)),CNTCC!$B$3:$F$3),IF(AND(DATEDIF(D11,DATE($X$4,$W$4,$V$4),"m")&gt;=24,DATEDIF(D11,DATE($X$4,$W$4,$V$4),"m")&lt;=60),LOOKUP(2,1/(G11&gt;=INDEX(IF(E11="x",CNTCC!$B$141:$F$251,CNTCC!$G$141:$K$251),MATCH(I11,CNTCC!$A$141:$A$251,0),0)),CNTCC!$B$140:$F$140),0))</f>
        <v>bt</v>
      </c>
      <c r="L11" s="145" t="s">
        <v>22</v>
      </c>
      <c r="M11" s="145" t="s">
        <v>22</v>
      </c>
      <c r="N11" s="145" t="s">
        <v>22</v>
      </c>
      <c r="O11" s="145" t="s">
        <v>22</v>
      </c>
      <c r="P11" s="145" t="s">
        <v>22</v>
      </c>
      <c r="Q11" s="145" t="s">
        <v>22</v>
      </c>
      <c r="R11" s="147" t="s">
        <v>23</v>
      </c>
      <c r="S11" s="148" t="str">
        <f t="shared" ref="S11:S22" si="0">PROPER(B11)</f>
        <v>Nguyễn Diệp</v>
      </c>
      <c r="T11" s="148">
        <f t="shared" ref="T11:T22" si="1">DATEDIF(D11,DATE($X$4,$W$4,$V$4),"m")</f>
        <v>28</v>
      </c>
      <c r="U11" s="148">
        <f t="shared" ref="U11:U22" si="2">G11/(I11/100)^2</f>
        <v>16.656751933372995</v>
      </c>
      <c r="Y11" s="148">
        <f>SUM(Y10:AA10)</f>
        <v>13</v>
      </c>
    </row>
    <row r="12" spans="1:37" s="148" customFormat="1" ht="16.8">
      <c r="A12" s="138">
        <v>3</v>
      </c>
      <c r="B12" s="139" t="s">
        <v>274</v>
      </c>
      <c r="C12" s="149" t="s">
        <v>275</v>
      </c>
      <c r="D12" s="151">
        <v>45380</v>
      </c>
      <c r="E12" s="142" t="s">
        <v>189</v>
      </c>
      <c r="F12" s="143"/>
      <c r="G12" s="144">
        <v>12.9</v>
      </c>
      <c r="H12" s="145" t="str">
        <f>IF(DATEDIF(D12,DATE($X$4,$W$4,$V$4),"m")&lt;=60,LOOKUP(2,1/(G12&gt;=INDEX(IF(E12="x",CNTT!$B$4:$E$64,CNTT!$F$4:$I$64),MATCH(DATEDIF(D12,DATE($X$4,$W$4,$V$4),"m"),CNTT!$A$4:$A$64,0),0)),CNTT!$B$3:$E$3),LOOKUP(2,1/(G12&gt;=INDEX(IF(E12="x",CNTT!$B$70:$E$93,CNTT!$F$70:$I$93),MATCH(DATEDIF(D12,DATE($X$4,$W$4,$V$4),"m"),CNTT!$A$70:$A$93,0),0)),CNTT!$B$69:$E$69))</f>
        <v>bt</v>
      </c>
      <c r="I12" s="145">
        <v>90</v>
      </c>
      <c r="J12" s="146" t="str">
        <f>IF(DATEDIF(D12,DATE($X$4,$W$4,$V$4),"m")&lt;=60,LOOKUP(2,1/(I12&gt;=INDEX(IF(E12="x",CCTT!$B$4:$E$64,CCTT!$F$4:$I$64),MATCH(DATEDIF(D12,DATE($X$4,$W$4,$V$4),"m"),CCTT!$A$4:$A$64,0),0)),CCTT!$B$3:$E$3),LOOKUP(2,1/(I12&gt;=INDEX(IF(E12="x",CCTT!$B$70:$E$93,CCTT!$F$70:$I$93),MATCH(DATEDIF(D12,DATE($X$4,$W$4,$V$4),"m"),CCTT!$A$70:$A$93,0),0)),CCTT!B$69:E$69))</f>
        <v>bt</v>
      </c>
      <c r="K12" s="146" t="str">
        <f>IF(DATEDIF(D12,DATE($X$4,$W$4,$V$4),"m")&lt;24,LOOKUP(2,1/(G12&gt;=INDEX(IF(E12="x",CNTCC!$B$4:$F$134,CNTCC!$F$4),MATCH(I12,CNTCC!$A$4:$A$134,0),0)),CNTCC!$B$3:$F$3),IF(AND(DATEDIF(D12,DATE($X$4,$W$4,$V$4),"m")&gt;=24,DATEDIF(D12,DATE($X$4,$W$4,$V$4),"m")&lt;=60),LOOKUP(2,1/(G12&gt;=INDEX(IF(E12="x",CNTCC!$B$141:$F$251,CNTCC!$G$141:$K$251),MATCH(I12,CNTCC!$A$141:$A$251,0),0)),CNTCC!$B$140:$F$140),0))</f>
        <v>bt</v>
      </c>
      <c r="L12" s="145" t="s">
        <v>22</v>
      </c>
      <c r="M12" s="145" t="s">
        <v>22</v>
      </c>
      <c r="N12" s="145" t="s">
        <v>22</v>
      </c>
      <c r="O12" s="145" t="s">
        <v>22</v>
      </c>
      <c r="P12" s="145" t="s">
        <v>22</v>
      </c>
      <c r="Q12" s="145" t="s">
        <v>22</v>
      </c>
      <c r="R12" s="147" t="s">
        <v>23</v>
      </c>
      <c r="S12" s="148" t="str">
        <f t="shared" si="0"/>
        <v>Trương Gia</v>
      </c>
      <c r="T12" s="148">
        <f t="shared" si="1"/>
        <v>29</v>
      </c>
      <c r="U12" s="148">
        <f t="shared" si="2"/>
        <v>15.925925925925926</v>
      </c>
      <c r="Y12" s="148">
        <f>SUM(AB10:AD10)</f>
        <v>13</v>
      </c>
    </row>
    <row r="13" spans="1:37" s="148" customFormat="1" ht="18" customHeight="1">
      <c r="A13" s="138">
        <v>4</v>
      </c>
      <c r="B13" s="139" t="s">
        <v>276</v>
      </c>
      <c r="C13" s="149" t="s">
        <v>157</v>
      </c>
      <c r="D13" s="151">
        <v>45434</v>
      </c>
      <c r="E13" s="142" t="s">
        <v>189</v>
      </c>
      <c r="F13" s="143"/>
      <c r="G13" s="144">
        <v>15.2</v>
      </c>
      <c r="H13" s="145" t="str">
        <f>IF(DATEDIF(D13,DATE($X$4,$W$4,$V$4),"m")&lt;=60,LOOKUP(2,1/(G13&gt;=INDEX(IF(E13="x",CNTT!$B$4:$E$64,CNTT!$F$4:$I$64),MATCH(DATEDIF(D13,DATE($X$4,$W$4,$V$4),"m"),CNTT!$A$4:$A$64,0),0)),CNTT!$B$3:$E$3),LOOKUP(2,1/(G13&gt;=INDEX(IF(E13="x",CNTT!$B$70:$E$93,CNTT!$F$70:$I$93),MATCH(DATEDIF(D13,DATE($X$4,$W$4,$V$4),"m"),CNTT!$A$70:$A$93,0),0)),CNTT!$B$69:$E$69))</f>
        <v>bt</v>
      </c>
      <c r="I13" s="145">
        <v>94</v>
      </c>
      <c r="J13" s="146" t="str">
        <f>IF(DATEDIF(D13,DATE($X$4,$W$4,$V$4),"m")&lt;=60,LOOKUP(2,1/(I13&gt;=INDEX(IF(E13="x",CCTT!$B$4:$E$64,CCTT!$F$4:$I$64),MATCH(DATEDIF(D13,DATE($X$4,$W$4,$V$4),"m"),CCTT!$A$4:$A$64,0),0)),CCTT!$B$3:$E$3),LOOKUP(2,1/(I13&gt;=INDEX(IF(E13="x",CCTT!$B$70:$E$93,CCTT!$F$70:$I$93),MATCH(DATEDIF(D13,DATE($X$4,$W$4,$V$4),"m"),CCTT!$A$70:$A$93,0),0)),CCTT!B$69:E$69))</f>
        <v>bt</v>
      </c>
      <c r="K13" s="146" t="str">
        <f>IF(DATEDIF(D13,DATE($X$4,$W$4,$V$4),"m")&lt;24,LOOKUP(2,1/(G13&gt;=INDEX(IF(E13="x",CNTCC!$B$4:$F$134,CNTCC!$F$4),MATCH(I13,CNTCC!$A$4:$A$134,0),0)),CNTCC!$B$3:$F$3),IF(AND(DATEDIF(D13,DATE($X$4,$W$4,$V$4),"m")&gt;=24,DATEDIF(D13,DATE($X$4,$W$4,$V$4),"m")&lt;=60),LOOKUP(2,1/(G13&gt;=INDEX(IF(E13="x",CNTCC!$B$141:$F$251,CNTCC!$G$141:$K$251),MATCH(I13,CNTCC!$A$141:$A$251,0),0)),CNTCC!$B$140:$F$140),0))</f>
        <v>bt</v>
      </c>
      <c r="L13" s="145" t="s">
        <v>22</v>
      </c>
      <c r="M13" s="145" t="s">
        <v>22</v>
      </c>
      <c r="N13" s="145" t="s">
        <v>22</v>
      </c>
      <c r="O13" s="145" t="s">
        <v>22</v>
      </c>
      <c r="P13" s="145" t="s">
        <v>22</v>
      </c>
      <c r="Q13" s="145" t="s">
        <v>22</v>
      </c>
      <c r="R13" s="147" t="s">
        <v>23</v>
      </c>
      <c r="S13" s="148" t="str">
        <f t="shared" si="0"/>
        <v>Macdonald Gia</v>
      </c>
      <c r="T13" s="148">
        <f t="shared" si="1"/>
        <v>27</v>
      </c>
      <c r="U13" s="148">
        <f t="shared" si="2"/>
        <v>17.202354006337711</v>
      </c>
      <c r="Y13" s="148">
        <f>SUM(AE10:AH10)</f>
        <v>13</v>
      </c>
    </row>
    <row r="14" spans="1:37" s="148" customFormat="1" ht="16.8">
      <c r="A14" s="138">
        <v>5</v>
      </c>
      <c r="B14" s="139" t="s">
        <v>277</v>
      </c>
      <c r="C14" s="149" t="s">
        <v>278</v>
      </c>
      <c r="D14" s="151">
        <v>45296</v>
      </c>
      <c r="E14" s="142" t="s">
        <v>189</v>
      </c>
      <c r="F14" s="150"/>
      <c r="G14" s="144">
        <v>11.8</v>
      </c>
      <c r="H14" s="145" t="str">
        <f>IF(DATEDIF(D14,DATE($X$4,$W$4,$V$4),"m")&lt;=60,LOOKUP(2,1/(G14&gt;=INDEX(IF(E14="x",CNTT!$B$4:$E$64,CNTT!$F$4:$I$64),MATCH(DATEDIF(D14,DATE($X$4,$W$4,$V$4),"m"),CNTT!$A$4:$A$64,0),0)),CNTT!$B$3:$E$3),LOOKUP(2,1/(G14&gt;=INDEX(IF(E14="x",CNTT!$B$70:$E$93,CNTT!$F$70:$I$93),MATCH(DATEDIF(D14,DATE($X$4,$W$4,$V$4),"m"),CNTT!$A$70:$A$93,0),0)),CNTT!$B$69:$E$69))</f>
        <v>bt</v>
      </c>
      <c r="I14" s="145">
        <v>88</v>
      </c>
      <c r="J14" s="146" t="str">
        <f>IF(DATEDIF(D14,DATE($X$4,$W$4,$V$4),"m")&lt;=60,LOOKUP(2,1/(I14&gt;=INDEX(IF(E14="x",CCTT!$B$4:$E$64,CCTT!$F$4:$I$64),MATCH(DATEDIF(D14,DATE($X$4,$W$4,$V$4),"m"),CCTT!$A$4:$A$64,0),0)),CCTT!$B$3:$E$3),LOOKUP(2,1/(I14&gt;=INDEX(IF(E14="x",CCTT!$B$70:$E$93,CCTT!$F$70:$I$93),MATCH(DATEDIF(D14,DATE($X$4,$W$4,$V$4),"m"),CCTT!$A$70:$A$93,0),0)),CCTT!B$69:E$69))</f>
        <v>bt</v>
      </c>
      <c r="K14" s="146" t="str">
        <f>IF(DATEDIF(D14,DATE($X$4,$W$4,$V$4),"m")&lt;24,LOOKUP(2,1/(G14&gt;=INDEX(IF(E14="x",CNTCC!$B$4:$F$134,CNTCC!$F$4),MATCH(I14,CNTCC!$A$4:$A$134,0),0)),CNTCC!$B$3:$F$3),IF(AND(DATEDIF(D14,DATE($X$4,$W$4,$V$4),"m")&gt;=24,DATEDIF(D14,DATE($X$4,$W$4,$V$4),"m")&lt;=60),LOOKUP(2,1/(G14&gt;=INDEX(IF(E14="x",CNTCC!$B$141:$F$251,CNTCC!$G$141:$K$251),MATCH(I14,CNTCC!$A$141:$A$251,0),0)),CNTCC!$B$140:$F$140),0))</f>
        <v>bt</v>
      </c>
      <c r="L14" s="145" t="s">
        <v>22</v>
      </c>
      <c r="M14" s="145" t="s">
        <v>22</v>
      </c>
      <c r="N14" s="145" t="s">
        <v>22</v>
      </c>
      <c r="O14" s="145" t="s">
        <v>22</v>
      </c>
      <c r="P14" s="145" t="s">
        <v>22</v>
      </c>
      <c r="Q14" s="145" t="s">
        <v>22</v>
      </c>
      <c r="R14" s="147" t="s">
        <v>23</v>
      </c>
      <c r="S14" s="148" t="str">
        <f t="shared" si="0"/>
        <v>Phạm Đăng</v>
      </c>
      <c r="T14" s="148">
        <f t="shared" si="1"/>
        <v>31</v>
      </c>
      <c r="U14" s="148">
        <f t="shared" si="2"/>
        <v>15.237603305785125</v>
      </c>
      <c r="Y14" s="148">
        <f>SUM(AI10:AK10)</f>
        <v>13</v>
      </c>
    </row>
    <row r="15" spans="1:37" s="148" customFormat="1" ht="16.8">
      <c r="A15" s="138">
        <v>6</v>
      </c>
      <c r="B15" s="139" t="s">
        <v>279</v>
      </c>
      <c r="C15" s="149" t="s">
        <v>280</v>
      </c>
      <c r="D15" s="151">
        <v>45476</v>
      </c>
      <c r="E15" s="142" t="s">
        <v>189</v>
      </c>
      <c r="F15" s="143"/>
      <c r="G15" s="144">
        <v>11.1</v>
      </c>
      <c r="H15" s="145" t="str">
        <f>IF(DATEDIF(D15,DATE($X$4,$W$4,$V$4),"m")&lt;=60,LOOKUP(2,1/(G15&gt;=INDEX(IF(E15="x",CNTT!$B$4:$E$64,CNTT!$F$4:$I$64),MATCH(DATEDIF(D15,DATE($X$4,$W$4,$V$4),"m"),CNTT!$A$4:$A$64,0),0)),CNTT!$B$3:$E$3),LOOKUP(2,1/(G15&gt;=INDEX(IF(E15="x",CNTT!$B$70:$E$93,CNTT!$F$70:$I$93),MATCH(DATEDIF(D15,DATE($X$4,$W$4,$V$4),"m"),CNTT!$A$70:$A$93,0),0)),CNTT!$B$69:$E$69))</f>
        <v>bt</v>
      </c>
      <c r="I15" s="145">
        <v>85</v>
      </c>
      <c r="J15" s="146" t="str">
        <f>IF(DATEDIF(D15,DATE($X$4,$W$4,$V$4),"m")&lt;=60,LOOKUP(2,1/(I15&gt;=INDEX(IF(E15="x",CCTT!$B$4:$E$64,CCTT!$F$4:$I$64),MATCH(DATEDIF(D15,DATE($X$4,$W$4,$V$4),"m"),CCTT!$A$4:$A$64,0),0)),CCTT!$B$3:$E$3),LOOKUP(2,1/(I15&gt;=INDEX(IF(E15="x",CCTT!$B$70:$E$93,CCTT!$F$70:$I$93),MATCH(DATEDIF(D15,DATE($X$4,$W$4,$V$4),"m"),CCTT!$A$70:$A$93,0),0)),CCTT!B$69:E$69))</f>
        <v>bt</v>
      </c>
      <c r="K15" s="146" t="str">
        <f>IF(DATEDIF(D15,DATE($X$4,$W$4,$V$4),"m")&lt;24,LOOKUP(2,1/(G15&gt;=INDEX(IF(E15="x",CNTCC!$B$4:$F$134,CNTCC!$F$4),MATCH(I15,CNTCC!$A$4:$A$134,0),0)),CNTCC!$B$3:$F$3),IF(AND(DATEDIF(D15,DATE($X$4,$W$4,$V$4),"m")&gt;=24,DATEDIF(D15,DATE($X$4,$W$4,$V$4),"m")&lt;=60),LOOKUP(2,1/(G15&gt;=INDEX(IF(E15="x",CNTCC!$B$141:$F$251,CNTCC!$G$141:$K$251),MATCH(I15,CNTCC!$A$141:$A$251,0),0)),CNTCC!$B$140:$F$140),0))</f>
        <v>bt</v>
      </c>
      <c r="L15" s="145" t="s">
        <v>22</v>
      </c>
      <c r="M15" s="145" t="s">
        <v>22</v>
      </c>
      <c r="N15" s="145" t="s">
        <v>22</v>
      </c>
      <c r="O15" s="145" t="s">
        <v>22</v>
      </c>
      <c r="P15" s="145" t="s">
        <v>22</v>
      </c>
      <c r="Q15" s="145" t="s">
        <v>22</v>
      </c>
      <c r="R15" s="147" t="s">
        <v>23</v>
      </c>
      <c r="S15" s="148" t="str">
        <f t="shared" si="0"/>
        <v>Ngô Quân</v>
      </c>
      <c r="T15" s="148">
        <f t="shared" si="1"/>
        <v>25</v>
      </c>
      <c r="U15" s="148">
        <f t="shared" si="2"/>
        <v>15.363321799307959</v>
      </c>
    </row>
    <row r="16" spans="1:37" s="148" customFormat="1" ht="16.8">
      <c r="A16" s="138">
        <v>7</v>
      </c>
      <c r="B16" s="139" t="s">
        <v>281</v>
      </c>
      <c r="C16" s="149" t="s">
        <v>252</v>
      </c>
      <c r="D16" s="151">
        <v>45502</v>
      </c>
      <c r="E16" s="142"/>
      <c r="F16" s="143" t="s">
        <v>189</v>
      </c>
      <c r="G16" s="144">
        <v>9.3000000000000007</v>
      </c>
      <c r="H16" s="145" t="str">
        <f>IF(DATEDIF(D16,DATE($X$4,$W$4,$V$4),"m")&lt;=60,LOOKUP(2,1/(G16&gt;=INDEX(IF(E16="x",CNTT!$B$4:$E$64,CNTT!$F$4:$I$64),MATCH(DATEDIF(D16,DATE($X$4,$W$4,$V$4),"m"),CNTT!$A$4:$A$64,0),0)),CNTT!$B$3:$E$3),LOOKUP(2,1/(G16&gt;=INDEX(IF(E16="x",CNTT!$B$70:$E$93,CNTT!$F$70:$I$93),MATCH(DATEDIF(D16,DATE($X$4,$W$4,$V$4),"m"),CNTT!$A$70:$A$93,0),0)),CNTT!$B$69:$E$69))</f>
        <v>bt</v>
      </c>
      <c r="I16" s="145">
        <v>84</v>
      </c>
      <c r="J16" s="156" t="s">
        <v>27</v>
      </c>
      <c r="K16" s="146" t="s">
        <v>25</v>
      </c>
      <c r="L16" s="145" t="s">
        <v>22</v>
      </c>
      <c r="M16" s="145" t="s">
        <v>22</v>
      </c>
      <c r="N16" s="145" t="s">
        <v>22</v>
      </c>
      <c r="O16" s="145" t="s">
        <v>22</v>
      </c>
      <c r="P16" s="145" t="s">
        <v>22</v>
      </c>
      <c r="Q16" s="145" t="s">
        <v>22</v>
      </c>
      <c r="R16" s="147" t="s">
        <v>57</v>
      </c>
      <c r="S16" s="148" t="str">
        <f t="shared" si="0"/>
        <v>Nguyễn Ngọc Tuệ</v>
      </c>
      <c r="T16" s="148">
        <f t="shared" si="1"/>
        <v>25</v>
      </c>
      <c r="U16" s="148">
        <f t="shared" si="2"/>
        <v>13.180272108843541</v>
      </c>
    </row>
    <row r="17" spans="1:21" s="148" customFormat="1" ht="16.8">
      <c r="A17" s="138">
        <v>8</v>
      </c>
      <c r="B17" s="152" t="s">
        <v>282</v>
      </c>
      <c r="C17" s="153" t="s">
        <v>254</v>
      </c>
      <c r="D17" s="151">
        <v>45298</v>
      </c>
      <c r="E17" s="142"/>
      <c r="F17" s="150" t="s">
        <v>189</v>
      </c>
      <c r="G17" s="144">
        <v>13.2</v>
      </c>
      <c r="H17" s="145" t="str">
        <f>IF(DATEDIF(D17,DATE($X$4,$W$4,$V$4),"m")&lt;=60,LOOKUP(2,1/(G17&gt;=INDEX(IF(E17="x",CNTT!$B$4:$E$64,CNTT!$F$4:$I$64),MATCH(DATEDIF(D17,DATE($X$4,$W$4,$V$4),"m"),CNTT!$A$4:$A$64,0),0)),CNTT!$B$3:$E$3),LOOKUP(2,1/(G17&gt;=INDEX(IF(E17="x",CNTT!$B$70:$E$93,CNTT!$F$70:$I$93),MATCH(DATEDIF(D17,DATE($X$4,$W$4,$V$4),"m"),CNTT!$A$70:$A$93,0),0)),CNTT!$B$69:$E$69))</f>
        <v>bt</v>
      </c>
      <c r="I17" s="145">
        <v>94</v>
      </c>
      <c r="J17" s="146" t="str">
        <f>IF(DATEDIF(D17,DATE($X$4,$W$4,$V$4),"m")&lt;=60,LOOKUP(2,1/(I17&gt;=INDEX(IF(E17="x",CCTT!$B$4:$E$64,CCTT!$F$4:$I$64),MATCH(DATEDIF(D17,DATE($X$4,$W$4,$V$4),"m"),CCTT!$A$4:$A$64,0),0)),CCTT!$B$3:$E$3),LOOKUP(2,1/(I17&gt;=INDEX(IF(E17="x",CCTT!$B$70:$E$93,CCTT!$F$70:$I$93),MATCH(DATEDIF(D17,DATE($X$4,$W$4,$V$4),"m"),CCTT!$A$70:$A$93,0),0)),CCTT!B$69:E$69))</f>
        <v>bt</v>
      </c>
      <c r="K17" s="146" t="str">
        <f>IF(DATEDIF(D17,DATE($X$4,$W$4,$V$4),"m")&lt;24,LOOKUP(2,1/(G17&gt;=INDEX(IF(E17="x",CNTCC!$B$4:$F$134,CNTCC!$F$4),MATCH(I17,CNTCC!$A$4:$A$134,0),0)),CNTCC!$B$3:$F$3),IF(AND(DATEDIF(D17,DATE($X$4,$W$4,$V$4),"m")&gt;=24,DATEDIF(D17,DATE($X$4,$W$4,$V$4),"m")&lt;=60),LOOKUP(2,1/(G17&gt;=INDEX(IF(E17="x",CNTCC!$B$141:$F$251,CNTCC!$G$141:$K$251),MATCH(I17,CNTCC!$A$141:$A$251,0),0)),CNTCC!$B$140:$F$140),0))</f>
        <v>bt</v>
      </c>
      <c r="L17" s="145" t="s">
        <v>22</v>
      </c>
      <c r="M17" s="145" t="s">
        <v>22</v>
      </c>
      <c r="N17" s="145" t="s">
        <v>22</v>
      </c>
      <c r="O17" s="145" t="s">
        <v>22</v>
      </c>
      <c r="P17" s="145" t="s">
        <v>22</v>
      </c>
      <c r="Q17" s="145" t="s">
        <v>22</v>
      </c>
      <c r="R17" s="147" t="s">
        <v>23</v>
      </c>
      <c r="S17" s="148" t="str">
        <f t="shared" si="0"/>
        <v>Huỳnh Ngọc Phương</v>
      </c>
      <c r="T17" s="148">
        <f t="shared" si="1"/>
        <v>31</v>
      </c>
      <c r="U17" s="148">
        <f t="shared" si="2"/>
        <v>14.938886373924854</v>
      </c>
    </row>
    <row r="18" spans="1:21" s="148" customFormat="1" ht="16.8">
      <c r="A18" s="138">
        <v>9</v>
      </c>
      <c r="B18" s="139" t="s">
        <v>272</v>
      </c>
      <c r="C18" s="149" t="s">
        <v>156</v>
      </c>
      <c r="D18" s="154">
        <v>45335</v>
      </c>
      <c r="E18" s="142" t="s">
        <v>189</v>
      </c>
      <c r="F18" s="150"/>
      <c r="G18" s="144">
        <v>14.9</v>
      </c>
      <c r="H18" s="145" t="str">
        <f>IF(DATEDIF(D18,DATE($X$4,$W$4,$V$4),"m")&lt;=60,LOOKUP(2,1/(G18&gt;=INDEX(IF(E18="x",CNTT!$B$4:$E$64,CNTT!$F$4:$I$64),MATCH(DATEDIF(D18,DATE($X$4,$W$4,$V$4),"m"),CNTT!$A$4:$A$64,0),0)),CNTT!$B$3:$E$3),LOOKUP(2,1/(G18&gt;=INDEX(IF(E18="x",CNTT!$B$70:$E$93,CNTT!$F$70:$I$93),MATCH(DATEDIF(D18,DATE($X$4,$W$4,$V$4),"m"),CNTT!$A$70:$A$93,0),0)),CNTT!$B$69:$E$69))</f>
        <v>bt</v>
      </c>
      <c r="I18" s="145">
        <v>94</v>
      </c>
      <c r="J18" s="146" t="str">
        <f>IF(DATEDIF(D18,DATE($X$4,$W$4,$V$4),"m")&lt;=60,LOOKUP(2,1/(I18&gt;=INDEX(IF(E18="x",CCTT!$B$4:$E$64,CCTT!$F$4:$I$64),MATCH(DATEDIF(D18,DATE($X$4,$W$4,$V$4),"m"),CCTT!$A$4:$A$64,0),0)),CCTT!$B$3:$E$3),LOOKUP(2,1/(I18&gt;=INDEX(IF(E18="x",CCTT!$B$70:$E$93,CCTT!$F$70:$I$93),MATCH(DATEDIF(D18,DATE($X$4,$W$4,$V$4),"m"),CCTT!$A$70:$A$93,0),0)),CCTT!B$69:E$69))</f>
        <v>bt</v>
      </c>
      <c r="K18" s="146" t="str">
        <f>IF(DATEDIF(D18,DATE($X$4,$W$4,$V$4),"m")&lt;24,LOOKUP(2,1/(G18&gt;=INDEX(IF(E18="x",CNTCC!$B$4:$F$134,CNTCC!$F$4),MATCH(I18,CNTCC!$A$4:$A$134,0),0)),CNTCC!$B$3:$F$3),IF(AND(DATEDIF(D18,DATE($X$4,$W$4,$V$4),"m")&gt;=24,DATEDIF(D18,DATE($X$4,$W$4,$V$4),"m")&lt;=60),LOOKUP(2,1/(G18&gt;=INDEX(IF(E18="x",CNTCC!$B$141:$F$251,CNTCC!$G$141:$K$251),MATCH(I18,CNTCC!$A$141:$A$251,0),0)),CNTCC!$B$140:$F$140),0))</f>
        <v>bt</v>
      </c>
      <c r="L18" s="145" t="s">
        <v>22</v>
      </c>
      <c r="M18" s="145" t="s">
        <v>22</v>
      </c>
      <c r="N18" s="145" t="s">
        <v>22</v>
      </c>
      <c r="O18" s="145" t="s">
        <v>22</v>
      </c>
      <c r="P18" s="145" t="s">
        <v>22</v>
      </c>
      <c r="Q18" s="145" t="s">
        <v>22</v>
      </c>
      <c r="R18" s="147" t="s">
        <v>23</v>
      </c>
      <c r="S18" s="148" t="str">
        <f t="shared" si="0"/>
        <v xml:space="preserve">Nguyễn Quốc </v>
      </c>
      <c r="T18" s="148">
        <f t="shared" si="1"/>
        <v>30</v>
      </c>
      <c r="U18" s="148">
        <f t="shared" si="2"/>
        <v>16.862833861475782</v>
      </c>
    </row>
    <row r="19" spans="1:21" s="148" customFormat="1" ht="16.8">
      <c r="A19" s="138">
        <v>10</v>
      </c>
      <c r="B19" s="139" t="s">
        <v>283</v>
      </c>
      <c r="C19" s="140" t="s">
        <v>154</v>
      </c>
      <c r="D19" s="151">
        <v>45403</v>
      </c>
      <c r="E19" s="142"/>
      <c r="F19" s="150" t="s">
        <v>189</v>
      </c>
      <c r="G19" s="144">
        <v>11.2</v>
      </c>
      <c r="H19" s="145" t="str">
        <f>IF(DATEDIF(D19,DATE($X$4,$W$4,$V$4),"m")&lt;=60,LOOKUP(2,1/(G19&gt;=INDEX(IF(E19="x",CNTT!$B$4:$E$64,CNTT!$F$4:$I$64),MATCH(DATEDIF(D19,DATE($X$4,$W$4,$V$4),"m"),CNTT!$A$4:$A$64,0),0)),CNTT!$B$3:$E$3),LOOKUP(2,1/(G19&gt;=INDEX(IF(E19="x",CNTT!$B$70:$E$93,CNTT!$F$70:$I$93),MATCH(DATEDIF(D19,DATE($X$4,$W$4,$V$4),"m"),CNTT!$A$70:$A$93,0),0)),CNTT!$B$69:$E$69))</f>
        <v>bt</v>
      </c>
      <c r="I19" s="145">
        <v>84</v>
      </c>
      <c r="J19" s="156" t="s">
        <v>27</v>
      </c>
      <c r="K19" s="146" t="str">
        <f>IF(DATEDIF(D19,DATE($X$4,$W$4,$V$4),"m")&lt;24,LOOKUP(2,1/(G19&gt;=INDEX(IF(E19="x",CNTCC!$B$4:$F$134,CNTCC!$F$4),MATCH(I19,CNTCC!$A$4:$A$134,0),0)),CNTCC!$B$3:$F$3),IF(AND(DATEDIF(D19,DATE($X$4,$W$4,$V$4),"m")&gt;=24,DATEDIF(D19,DATE($X$4,$W$4,$V$4),"m")&lt;=60),LOOKUP(2,1/(G19&gt;=INDEX(IF(E19="x",CNTCC!$B$141:$F$251,CNTCC!$G$141:$K$251),MATCH(I19,CNTCC!$A$141:$A$251,0),0)),CNTCC!$B$140:$F$140),0))</f>
        <v>bt</v>
      </c>
      <c r="L19" s="145" t="s">
        <v>22</v>
      </c>
      <c r="M19" s="145" t="s">
        <v>22</v>
      </c>
      <c r="N19" s="145" t="s">
        <v>22</v>
      </c>
      <c r="O19" s="145" t="s">
        <v>22</v>
      </c>
      <c r="P19" s="145" t="s">
        <v>22</v>
      </c>
      <c r="Q19" s="145" t="s">
        <v>22</v>
      </c>
      <c r="R19" s="147" t="s">
        <v>57</v>
      </c>
      <c r="S19" s="148" t="str">
        <f t="shared" si="0"/>
        <v>Phan Hoàng Anh</v>
      </c>
      <c r="T19" s="148">
        <f t="shared" si="1"/>
        <v>28</v>
      </c>
      <c r="U19" s="148">
        <f t="shared" si="2"/>
        <v>15.873015873015875</v>
      </c>
    </row>
    <row r="20" spans="1:21" s="148" customFormat="1" ht="16.8">
      <c r="A20" s="138">
        <v>11</v>
      </c>
      <c r="B20" s="139" t="s">
        <v>284</v>
      </c>
      <c r="C20" s="140" t="s">
        <v>154</v>
      </c>
      <c r="D20" s="151">
        <v>45329</v>
      </c>
      <c r="E20" s="142" t="s">
        <v>189</v>
      </c>
      <c r="F20" s="150"/>
      <c r="G20" s="144">
        <v>11.7</v>
      </c>
      <c r="H20" s="145" t="str">
        <f>IF(DATEDIF(D20,DATE($X$4,$W$4,$V$4),"m")&lt;=60,LOOKUP(2,1/(G20&gt;=INDEX(IF(E20="x",CNTT!$B$4:$E$64,CNTT!$F$4:$I$64),MATCH(DATEDIF(D20,DATE($X$4,$W$4,$V$4),"m"),CNTT!$A$4:$A$64,0),0)),CNTT!$B$3:$E$3),LOOKUP(2,1/(G20&gt;=INDEX(IF(E20="x",CNTT!$B$70:$E$93,CNTT!$F$70:$I$93),MATCH(DATEDIF(D20,DATE($X$4,$W$4,$V$4),"m"),CNTT!$A$70:$A$93,0),0)),CNTT!$B$69:$E$69))</f>
        <v>bt</v>
      </c>
      <c r="I20" s="145">
        <v>90</v>
      </c>
      <c r="J20" s="146" t="str">
        <f>IF(DATEDIF(D20,DATE($X$4,$W$4,$V$4),"m")&lt;=60,LOOKUP(2,1/(I20&gt;=INDEX(IF(E20="x",CCTT!$B$4:$E$64,CCTT!$F$4:$I$64),MATCH(DATEDIF(D20,DATE($X$4,$W$4,$V$4),"m"),CCTT!$A$4:$A$64,0),0)),CCTT!$B$3:$E$3),LOOKUP(2,1/(I20&gt;=INDEX(IF(E20="x",CCTT!$B$70:$E$93,CCTT!$F$70:$I$93),MATCH(DATEDIF(D20,DATE($X$4,$W$4,$V$4),"m"),CCTT!$A$70:$A$93,0),0)),CCTT!B$69:E$69))</f>
        <v>bt</v>
      </c>
      <c r="K20" s="146" t="str">
        <f>IF(DATEDIF(D20,DATE($X$4,$W$4,$V$4),"m")&lt;24,LOOKUP(2,1/(G20&gt;=INDEX(IF(E20="x",CNTCC!$B$4:$F$134,CNTCC!$F$4),MATCH(I20,CNTCC!$A$4:$A$134,0),0)),CNTCC!$B$3:$F$3),IF(AND(DATEDIF(D20,DATE($X$4,$W$4,$V$4),"m")&gt;=24,DATEDIF(D20,DATE($X$4,$W$4,$V$4),"m")&lt;=60),LOOKUP(2,1/(G20&gt;=INDEX(IF(E20="x",CNTCC!$B$141:$F$251,CNTCC!$G$141:$K$251),MATCH(I20,CNTCC!$A$141:$A$251,0),0)),CNTCC!$B$140:$F$140),0))</f>
        <v>bt</v>
      </c>
      <c r="L20" s="145" t="s">
        <v>22</v>
      </c>
      <c r="M20" s="145" t="s">
        <v>22</v>
      </c>
      <c r="N20" s="145" t="s">
        <v>22</v>
      </c>
      <c r="O20" s="145" t="s">
        <v>22</v>
      </c>
      <c r="P20" s="145" t="s">
        <v>22</v>
      </c>
      <c r="Q20" s="145" t="s">
        <v>22</v>
      </c>
      <c r="R20" s="147" t="s">
        <v>23</v>
      </c>
      <c r="S20" s="148" t="str">
        <f t="shared" si="0"/>
        <v>Nguyễn Huỳnh An</v>
      </c>
      <c r="T20" s="148">
        <f t="shared" si="1"/>
        <v>30</v>
      </c>
      <c r="U20" s="148">
        <f t="shared" si="2"/>
        <v>14.444444444444443</v>
      </c>
    </row>
    <row r="21" spans="1:21" s="148" customFormat="1" ht="16.8">
      <c r="A21" s="138">
        <v>12</v>
      </c>
      <c r="B21" s="139" t="s">
        <v>285</v>
      </c>
      <c r="C21" s="140" t="s">
        <v>161</v>
      </c>
      <c r="D21" s="151">
        <v>45391</v>
      </c>
      <c r="E21" s="142" t="s">
        <v>189</v>
      </c>
      <c r="F21" s="150"/>
      <c r="G21" s="144">
        <v>11.2</v>
      </c>
      <c r="H21" s="145" t="str">
        <f>IF(DATEDIF(D21,DATE($X$4,$W$4,$V$4),"m")&lt;=60,LOOKUP(2,1/(G21&gt;=INDEX(IF(E21="x",CNTT!$B$4:$E$64,CNTT!$F$4:$I$64),MATCH(DATEDIF(D21,DATE($X$4,$W$4,$V$4),"m"),CNTT!$A$4:$A$64,0),0)),CNTT!$B$3:$E$3),LOOKUP(2,1/(G21&gt;=INDEX(IF(E21="x",CNTT!$B$70:$E$93,CNTT!$F$70:$I$93),MATCH(DATEDIF(D21,DATE($X$4,$W$4,$V$4),"m"),CNTT!$A$70:$A$93,0),0)),CNTT!$B$69:$E$69))</f>
        <v>bt</v>
      </c>
      <c r="I21" s="145">
        <v>86</v>
      </c>
      <c r="J21" s="146" t="str">
        <f>IF(DATEDIF(D21,DATE($X$4,$W$4,$V$4),"m")&lt;=60,LOOKUP(2,1/(I21&gt;=INDEX(IF(E21="x",CCTT!$B$4:$E$64,CCTT!$F$4:$I$64),MATCH(DATEDIF(D21,DATE($X$4,$W$4,$V$4),"m"),CCTT!$A$4:$A$64,0),0)),CCTT!$B$3:$E$3),LOOKUP(2,1/(I21&gt;=INDEX(IF(E21="x",CCTT!$B$70:$E$93,CCTT!$F$70:$I$93),MATCH(DATEDIF(D21,DATE($X$4,$W$4,$V$4),"m"),CCTT!$A$70:$A$93,0),0)),CCTT!B$69:E$69))</f>
        <v>bt</v>
      </c>
      <c r="K21" s="146" t="str">
        <f>IF(DATEDIF(D21,DATE($X$4,$W$4,$V$4),"m")&lt;24,LOOKUP(2,1/(G21&gt;=INDEX(IF(E21="x",CNTCC!$B$4:$F$134,CNTCC!$F$4),MATCH(I21,CNTCC!$A$4:$A$134,0),0)),CNTCC!$B$3:$F$3),IF(AND(DATEDIF(D21,DATE($X$4,$W$4,$V$4),"m")&gt;=24,DATEDIF(D21,DATE($X$4,$W$4,$V$4),"m")&lt;=60),LOOKUP(2,1/(G21&gt;=INDEX(IF(E21="x",CNTCC!$B$141:$F$251,CNTCC!$G$141:$K$251),MATCH(I21,CNTCC!$A$141:$A$251,0),0)),CNTCC!$B$140:$F$140),0))</f>
        <v>bt</v>
      </c>
      <c r="L21" s="145" t="s">
        <v>22</v>
      </c>
      <c r="M21" s="145" t="s">
        <v>22</v>
      </c>
      <c r="N21" s="145" t="s">
        <v>22</v>
      </c>
      <c r="O21" s="145" t="s">
        <v>22</v>
      </c>
      <c r="P21" s="145" t="s">
        <v>22</v>
      </c>
      <c r="Q21" s="145" t="s">
        <v>22</v>
      </c>
      <c r="R21" s="147" t="s">
        <v>23</v>
      </c>
      <c r="S21" s="148" t="str">
        <f t="shared" si="0"/>
        <v>Phạm Duy</v>
      </c>
      <c r="T21" s="148">
        <f t="shared" si="1"/>
        <v>28</v>
      </c>
      <c r="U21" s="148">
        <f t="shared" si="2"/>
        <v>15.143320713899406</v>
      </c>
    </row>
    <row r="22" spans="1:21" s="148" customFormat="1" ht="16.8">
      <c r="A22" s="138">
        <v>13</v>
      </c>
      <c r="B22" s="139" t="s">
        <v>286</v>
      </c>
      <c r="C22" s="140" t="s">
        <v>226</v>
      </c>
      <c r="D22" s="151">
        <v>45327</v>
      </c>
      <c r="E22" s="142"/>
      <c r="F22" s="150" t="s">
        <v>189</v>
      </c>
      <c r="G22" s="144">
        <v>12.2</v>
      </c>
      <c r="H22" s="145" t="str">
        <f>IF(DATEDIF(D22,DATE($X$4,$W$4,$V$4),"m")&lt;=60,LOOKUP(2,1/(G22&gt;=INDEX(IF(E22="x",CNTT!$B$4:$E$64,CNTT!$F$4:$I$64),MATCH(DATEDIF(D22,DATE($X$4,$W$4,$V$4),"m"),CNTT!$A$4:$A$64,0),0)),CNTT!$B$3:$E$3),LOOKUP(2,1/(G22&gt;=INDEX(IF(E22="x",CNTT!$B$70:$E$93,CNTT!$F$70:$I$93),MATCH(DATEDIF(D22,DATE($X$4,$W$4,$V$4),"m"),CNTT!$A$70:$A$93,0),0)),CNTT!$B$69:$E$69))</f>
        <v>bt</v>
      </c>
      <c r="I22" s="145">
        <v>88</v>
      </c>
      <c r="J22" s="146" t="str">
        <f>IF(DATEDIF(D22,DATE($X$4,$W$4,$V$4),"m")&lt;=60,LOOKUP(2,1/(I22&gt;=INDEX(IF(E22="x",CCTT!$B$4:$E$64,CCTT!$F$4:$I$64),MATCH(DATEDIF(D22,DATE($X$4,$W$4,$V$4),"m"),CCTT!$A$4:$A$64,0),0)),CCTT!$B$3:$E$3),LOOKUP(2,1/(I22&gt;=INDEX(IF(E22="x",CCTT!$B$70:$E$93,CCTT!$F$70:$I$93),MATCH(DATEDIF(D22,DATE($X$4,$W$4,$V$4),"m"),CCTT!$A$70:$A$93,0),0)),CCTT!B$69:E$69))</f>
        <v>bt</v>
      </c>
      <c r="K22" s="146" t="str">
        <f>IF(DATEDIF(D22,DATE($X$4,$W$4,$V$4),"m")&lt;24,LOOKUP(2,1/(G22&gt;=INDEX(IF(E22="x",CNTCC!$B$4:$F$134,CNTCC!$F$4),MATCH(I22,CNTCC!$A$4:$A$134,0),0)),CNTCC!$B$3:$F$3),IF(AND(DATEDIF(D22,DATE($X$4,$W$4,$V$4),"m")&gt;=24,DATEDIF(D22,DATE($X$4,$W$4,$V$4),"m")&lt;=60),LOOKUP(2,1/(G22&gt;=INDEX(IF(E22="x",CNTCC!$B$141:$F$251,CNTCC!$G$141:$K$251),MATCH(I22,CNTCC!$A$141:$A$251,0),0)),CNTCC!$B$140:$F$140),0))</f>
        <v>bt</v>
      </c>
      <c r="L22" s="145" t="s">
        <v>22</v>
      </c>
      <c r="M22" s="145" t="s">
        <v>22</v>
      </c>
      <c r="N22" s="145" t="s">
        <v>22</v>
      </c>
      <c r="O22" s="145" t="s">
        <v>22</v>
      </c>
      <c r="P22" s="145" t="s">
        <v>22</v>
      </c>
      <c r="Q22" s="145" t="s">
        <v>22</v>
      </c>
      <c r="R22" s="147" t="s">
        <v>23</v>
      </c>
      <c r="S22" s="148" t="str">
        <f t="shared" si="0"/>
        <v>Hồ Vũ Phương</v>
      </c>
      <c r="T22" s="148">
        <f t="shared" si="1"/>
        <v>30</v>
      </c>
      <c r="U22" s="148">
        <f t="shared" si="2"/>
        <v>15.754132231404958</v>
      </c>
    </row>
    <row r="23" spans="1:21" ht="16.8">
      <c r="A23" s="68"/>
      <c r="B23" s="74"/>
      <c r="C23" s="69"/>
      <c r="D23" s="75"/>
      <c r="E23" s="70"/>
      <c r="F23" s="70"/>
      <c r="G23" s="70"/>
      <c r="H23" s="71"/>
      <c r="I23" s="70"/>
      <c r="J23" s="94"/>
      <c r="K23" s="94"/>
      <c r="L23" s="71"/>
      <c r="M23" s="76"/>
      <c r="N23" s="71"/>
      <c r="O23" s="71"/>
      <c r="P23" s="71"/>
      <c r="Q23" s="71"/>
      <c r="R23" s="73"/>
    </row>
    <row r="24" spans="1:21" s="3" customFormat="1">
      <c r="A24" s="93"/>
      <c r="C24" s="13"/>
      <c r="D24" s="13" t="s">
        <v>24</v>
      </c>
      <c r="E24" s="13"/>
      <c r="F24" s="13"/>
      <c r="G24" s="14"/>
      <c r="H24" s="14"/>
      <c r="I24" s="14"/>
      <c r="J24" s="14"/>
      <c r="K24" s="14"/>
      <c r="L24" s="15"/>
      <c r="M24" s="15"/>
      <c r="N24" s="15"/>
      <c r="O24" s="15"/>
      <c r="P24" s="15"/>
      <c r="Q24" s="15"/>
      <c r="R24" s="14"/>
    </row>
    <row r="25" spans="1:21" s="3" customFormat="1">
      <c r="B25" s="15"/>
      <c r="C25" s="15"/>
      <c r="D25" s="15"/>
      <c r="E25" s="15"/>
      <c r="F25" s="15"/>
      <c r="G25" s="14"/>
      <c r="H25" s="14"/>
      <c r="I25" s="14"/>
      <c r="J25" s="14"/>
      <c r="K25" s="14"/>
      <c r="L25" s="15"/>
      <c r="M25" s="15"/>
      <c r="N25" s="15"/>
      <c r="O25" s="15"/>
      <c r="P25" s="15"/>
      <c r="Q25" s="15"/>
      <c r="R25" s="14"/>
    </row>
    <row r="26" spans="1:21" s="3" customFormat="1">
      <c r="A26" s="16" t="s">
        <v>25</v>
      </c>
      <c r="C26" s="15" t="s">
        <v>26</v>
      </c>
      <c r="D26" s="15"/>
      <c r="E26" s="15"/>
      <c r="F26" s="15"/>
      <c r="G26" s="14"/>
      <c r="H26" s="14"/>
      <c r="I26" s="16" t="s">
        <v>27</v>
      </c>
      <c r="J26" s="15"/>
      <c r="K26" s="15"/>
      <c r="L26" s="15" t="s">
        <v>28</v>
      </c>
      <c r="M26" s="15"/>
      <c r="N26" s="15"/>
      <c r="O26" s="15"/>
      <c r="P26" s="15"/>
      <c r="Q26" s="15"/>
      <c r="R26" s="14"/>
    </row>
    <row r="27" spans="1:21" s="3" customFormat="1">
      <c r="A27" s="16" t="s">
        <v>29</v>
      </c>
      <c r="C27" s="15" t="s">
        <v>30</v>
      </c>
      <c r="D27" s="15"/>
      <c r="E27" s="15"/>
      <c r="F27" s="15"/>
      <c r="G27" s="14"/>
      <c r="H27" s="14"/>
      <c r="I27" s="16" t="s">
        <v>31</v>
      </c>
      <c r="J27" s="15"/>
      <c r="K27" s="15"/>
      <c r="L27" s="15" t="s">
        <v>32</v>
      </c>
      <c r="M27" s="15"/>
      <c r="N27" s="15"/>
      <c r="O27" s="15"/>
      <c r="P27" s="15"/>
      <c r="Q27" s="15"/>
      <c r="R27" s="14"/>
    </row>
    <row r="28" spans="1:21" s="3" customFormat="1">
      <c r="A28" s="16" t="s">
        <v>33</v>
      </c>
      <c r="C28" s="15" t="s">
        <v>34</v>
      </c>
      <c r="D28" s="15"/>
      <c r="E28" s="15"/>
      <c r="F28" s="15"/>
      <c r="G28" s="14"/>
      <c r="H28" s="14"/>
      <c r="I28" s="16" t="s">
        <v>35</v>
      </c>
      <c r="J28" s="15"/>
      <c r="K28" s="15"/>
      <c r="L28" s="15" t="s">
        <v>36</v>
      </c>
      <c r="M28" s="15"/>
      <c r="N28" s="15"/>
      <c r="O28" s="15"/>
      <c r="P28" s="15"/>
      <c r="Q28" s="15"/>
      <c r="R28" s="14"/>
    </row>
    <row r="29" spans="1:21" s="3" customFormat="1">
      <c r="A29" s="16" t="s">
        <v>37</v>
      </c>
      <c r="C29" s="15" t="s">
        <v>38</v>
      </c>
      <c r="D29" s="15"/>
      <c r="E29" s="15"/>
      <c r="F29" s="15"/>
      <c r="G29" s="14"/>
      <c r="H29" s="14"/>
      <c r="I29" s="16" t="s">
        <v>39</v>
      </c>
      <c r="J29" s="15"/>
      <c r="K29" s="15"/>
      <c r="L29" s="15" t="s">
        <v>40</v>
      </c>
      <c r="M29" s="15"/>
      <c r="N29" s="15"/>
      <c r="O29" s="15"/>
      <c r="P29" s="15"/>
      <c r="Q29" s="15"/>
      <c r="R29" s="14"/>
    </row>
    <row r="30" spans="1:21">
      <c r="A30" s="16" t="s">
        <v>41</v>
      </c>
      <c r="C30" s="15" t="s">
        <v>42</v>
      </c>
      <c r="D30" s="15"/>
      <c r="E30" s="15"/>
      <c r="F30" s="15"/>
      <c r="G30" s="14"/>
      <c r="H30" s="14"/>
      <c r="I30" s="16" t="s">
        <v>43</v>
      </c>
      <c r="J30" s="15"/>
      <c r="K30" s="15"/>
      <c r="L30" s="15" t="s">
        <v>44</v>
      </c>
      <c r="M30" s="15"/>
      <c r="N30" s="15"/>
      <c r="O30" s="15"/>
      <c r="P30" s="15"/>
      <c r="Q30" s="15"/>
      <c r="R30" s="14"/>
    </row>
    <row r="31" spans="1:21">
      <c r="A31" s="4" t="s">
        <v>45</v>
      </c>
      <c r="C31" s="3" t="s">
        <v>46</v>
      </c>
      <c r="I31" s="5" t="s">
        <v>47</v>
      </c>
      <c r="L31" s="4" t="s">
        <v>48</v>
      </c>
    </row>
    <row r="32" spans="1:21">
      <c r="A32" s="4" t="s">
        <v>49</v>
      </c>
      <c r="C32" s="3" t="s">
        <v>50</v>
      </c>
      <c r="I32" s="5" t="s">
        <v>51</v>
      </c>
      <c r="L32" s="4" t="s">
        <v>52</v>
      </c>
    </row>
    <row r="33" spans="1:12">
      <c r="A33" s="4" t="s">
        <v>53</v>
      </c>
      <c r="C33" s="3" t="s">
        <v>54</v>
      </c>
      <c r="I33" s="5" t="s">
        <v>55</v>
      </c>
      <c r="L33" s="4" t="s">
        <v>56</v>
      </c>
    </row>
  </sheetData>
  <autoFilter ref="A9:WWA22"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98D6C-346B-4CE2-9700-37623E8EAC00}">
  <sheetPr>
    <tabColor rgb="FF92D050"/>
  </sheetPr>
  <dimension ref="A1:AK34"/>
  <sheetViews>
    <sheetView zoomScale="58" zoomScaleNormal="58" zoomScaleSheetLayoutView="100" workbookViewId="0">
      <pane ySplit="9" topLeftCell="A10" activePane="bottomLeft" state="frozen"/>
      <selection activeCell="T34" sqref="T34"/>
      <selection pane="bottomLeft" activeCell="P22" sqref="P22"/>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271</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16.8">
      <c r="A10" s="138">
        <v>1</v>
      </c>
      <c r="B10" s="139" t="s">
        <v>249</v>
      </c>
      <c r="C10" s="140" t="s">
        <v>167</v>
      </c>
      <c r="D10" s="141">
        <v>45304</v>
      </c>
      <c r="E10" s="142"/>
      <c r="F10" s="143" t="s">
        <v>189</v>
      </c>
      <c r="G10" s="144">
        <v>11.4</v>
      </c>
      <c r="H10" s="145" t="str">
        <f>IF(DATEDIF(D10,DATE($X$4,$W$4,$V$4),"m")&lt;=60,LOOKUP(2,1/(G10&gt;=INDEX(IF(E10="x",CNTT!$B$4:$E$64,CNTT!$F$4:$I$64),MATCH(DATEDIF(D10,DATE($X$4,$W$4,$V$4),"m"),CNTT!$A$4:$A$64,0),0)),CNTT!$B$3:$E$3),LOOKUP(2,1/(G10&gt;=INDEX(IF(E10="x",CNTT!$B$70:$E$93,CNTT!$F$70:$I$93),MATCH(DATEDIF(D10,DATE($X$4,$W$4,$V$4),"m"),CNTT!$A$70:$A$93,0),0)),CNTT!$B$69:$E$69))</f>
        <v>bt</v>
      </c>
      <c r="I10" s="145">
        <v>86</v>
      </c>
      <c r="J10" s="146" t="str">
        <f>IF(DATEDIF(D10,DATE($X$4,$W$4,$V$4),"m")&lt;=60,LOOKUP(2,1/(I10&gt;=INDEX(IF(E10="x",CCTT!$B$4:$E$64,CCTT!$F$4:$I$64),MATCH(DATEDIF(D10,DATE($X$4,$W$4,$V$4),"m"),CCTT!$A$4:$A$64,0),0)),CCTT!$B$3:$E$3),LOOKUP(2,1/(I10&gt;=INDEX(IF(E10="x",CCTT!$B$70:$E$93,CCTT!$F$70:$I$93),MATCH(DATEDIF(D10,DATE($X$4,$W$4,$V$4),"m"),CCTT!$A$70:$A$93,0),0)),CCTT!B$69:E$69))</f>
        <v>bt</v>
      </c>
      <c r="K10" s="146" t="str">
        <f>IF(DATEDIF(D10,DATE($X$4,$W$4,$V$4),"m")&lt;24,LOOKUP(2,1/(G10&gt;=INDEX(IF(E10="x",CNTCC!$B$4:$F$134,CNTCC!$F$4),MATCH(I10,CNTCC!$A$4:$A$134,0),0)),CNTCC!$B$3:$F$3),IF(AND(DATEDIF(D10,DATE($X$4,$W$4,$V$4),"m")&gt;=24,DATEDIF(D10,DATE($X$4,$W$4,$V$4),"m")&lt;=60),LOOKUP(2,1/(G10&gt;=INDEX(IF(E10="x",CNTCC!$B$141:$F$251,CNTCC!$G$141:$K$251),MATCH(I10,CNTCC!$A$141:$A$251,0),0)),CNTCC!$B$140:$F$140),0))</f>
        <v>bt</v>
      </c>
      <c r="L10" s="145" t="s">
        <v>22</v>
      </c>
      <c r="M10" s="145" t="s">
        <v>22</v>
      </c>
      <c r="N10" s="145" t="s">
        <v>22</v>
      </c>
      <c r="O10" s="145" t="s">
        <v>22</v>
      </c>
      <c r="P10" s="145" t="s">
        <v>22</v>
      </c>
      <c r="Q10" s="145" t="s">
        <v>22</v>
      </c>
      <c r="R10" s="147" t="s">
        <v>23</v>
      </c>
      <c r="S10" s="148" t="str">
        <f>PROPER(B10)</f>
        <v>Nguyễn Mộc Thiên</v>
      </c>
      <c r="T10" s="148">
        <f>DATEDIF(D10,DATE($X$4,$W$4,$V$4),"m")</f>
        <v>31</v>
      </c>
      <c r="U10" s="148">
        <f>G10/(I10/100)^2</f>
        <v>15.413737155219039</v>
      </c>
      <c r="W10" s="145"/>
      <c r="Y10" s="146">
        <f>COUNTIF(H10:H23,Y9)</f>
        <v>13</v>
      </c>
      <c r="Z10" s="146">
        <f>COUNTIF(H10:H23,Z9)</f>
        <v>0</v>
      </c>
      <c r="AA10" s="146">
        <f>COUNTIF(H10:H23,AA9)</f>
        <v>1</v>
      </c>
      <c r="AB10" s="146">
        <f>COUNTIF(J10:J23,AB9)</f>
        <v>14</v>
      </c>
      <c r="AC10" s="146">
        <f>COUNTIF(J10:J23,AC9)</f>
        <v>0</v>
      </c>
      <c r="AD10" s="146">
        <f>COUNTIF(J10:J23,AD9)</f>
        <v>0</v>
      </c>
      <c r="AE10" s="146">
        <f>COUNTIF(K10:K23,AE9)</f>
        <v>14</v>
      </c>
      <c r="AF10" s="146">
        <f>COUNTIF(K10:K23,AF9)</f>
        <v>0</v>
      </c>
      <c r="AG10" s="146">
        <f>COUNTIF(K10:K23,AG9)</f>
        <v>0</v>
      </c>
      <c r="AH10" s="146">
        <f>COUNTIF(K10:K23,AH9)</f>
        <v>0</v>
      </c>
      <c r="AI10" s="146">
        <f>COUNTIF(R10:R23,AI9)</f>
        <v>12</v>
      </c>
      <c r="AJ10" s="146">
        <f>COUNTIF(R10:R23,AJ9)</f>
        <v>2</v>
      </c>
      <c r="AK10" s="146">
        <f>COUNTIF(R10:R23,AK9)</f>
        <v>0</v>
      </c>
    </row>
    <row r="11" spans="1:37" s="148" customFormat="1" ht="16.8">
      <c r="A11" s="138">
        <v>2</v>
      </c>
      <c r="B11" s="139" t="s">
        <v>250</v>
      </c>
      <c r="C11" s="149" t="s">
        <v>157</v>
      </c>
      <c r="D11" s="141">
        <v>45375</v>
      </c>
      <c r="E11" s="142" t="s">
        <v>189</v>
      </c>
      <c r="F11" s="150"/>
      <c r="G11" s="144">
        <v>14.1</v>
      </c>
      <c r="H11" s="145" t="s">
        <v>25</v>
      </c>
      <c r="I11" s="145">
        <v>95</v>
      </c>
      <c r="J11" s="146" t="str">
        <f>IF(DATEDIF(D11,DATE($X$4,$W$4,$V$4),"m")&lt;=60,LOOKUP(2,1/(I11&gt;=INDEX(IF(E11="x",CCTT!$B$4:$E$64,CCTT!$F$4:$I$64),MATCH(DATEDIF(D11,DATE($X$4,$W$4,$V$4),"m"),CCTT!$A$4:$A$64,0),0)),CCTT!$B$3:$E$3),LOOKUP(2,1/(I11&gt;=INDEX(IF(E11="x",CCTT!$B$70:$E$93,CCTT!$F$70:$I$93),MATCH(DATEDIF(D11,DATE($X$4,$W$4,$V$4),"m"),CCTT!$A$70:$A$93,0),0)),CCTT!B$69:E$69))</f>
        <v>bt</v>
      </c>
      <c r="K11" s="146" t="s">
        <v>25</v>
      </c>
      <c r="L11" s="145" t="s">
        <v>22</v>
      </c>
      <c r="M11" s="155" t="s">
        <v>51</v>
      </c>
      <c r="N11" s="145" t="s">
        <v>22</v>
      </c>
      <c r="O11" s="145" t="s">
        <v>22</v>
      </c>
      <c r="P11" s="145" t="s">
        <v>22</v>
      </c>
      <c r="Q11" s="145" t="s">
        <v>22</v>
      </c>
      <c r="R11" s="147" t="s">
        <v>57</v>
      </c>
      <c r="S11" s="148" t="str">
        <f t="shared" ref="S11:S23" si="0">PROPER(B11)</f>
        <v>Nguyễn Võ Gia</v>
      </c>
      <c r="T11" s="148">
        <f t="shared" ref="T11:T23" si="1">DATEDIF(D11,DATE($X$4,$W$4,$V$4),"m")</f>
        <v>29</v>
      </c>
      <c r="U11" s="148">
        <f t="shared" ref="U11:U23" si="2">G11/(I11/100)^2</f>
        <v>15.623268698060942</v>
      </c>
      <c r="Y11" s="148">
        <f>SUM(Y10:AA10)</f>
        <v>14</v>
      </c>
    </row>
    <row r="12" spans="1:37" s="148" customFormat="1" ht="16.8">
      <c r="A12" s="138">
        <v>3</v>
      </c>
      <c r="B12" s="139" t="s">
        <v>169</v>
      </c>
      <c r="C12" s="149" t="s">
        <v>155</v>
      </c>
      <c r="D12" s="151">
        <v>45467</v>
      </c>
      <c r="E12" s="142" t="s">
        <v>189</v>
      </c>
      <c r="F12" s="143"/>
      <c r="G12" s="144">
        <v>12.6</v>
      </c>
      <c r="H12" s="145" t="str">
        <f>IF(DATEDIF(D12,DATE($X$4,$W$4,$V$4),"m")&lt;=60,LOOKUP(2,1/(G12&gt;=INDEX(IF(E12="x",CNTT!$B$4:$E$64,CNTT!$F$4:$I$64),MATCH(DATEDIF(D12,DATE($X$4,$W$4,$V$4),"m"),CNTT!$A$4:$A$64,0),0)),CNTT!$B$3:$E$3),LOOKUP(2,1/(G12&gt;=INDEX(IF(E12="x",CNTT!$B$70:$E$93,CNTT!$F$70:$I$93),MATCH(DATEDIF(D12,DATE($X$4,$W$4,$V$4),"m"),CNTT!$A$70:$A$93,0),0)),CNTT!$B$69:$E$69))</f>
        <v>bt</v>
      </c>
      <c r="I12" s="145">
        <v>91</v>
      </c>
      <c r="J12" s="146" t="str">
        <f>IF(DATEDIF(D12,DATE($X$4,$W$4,$V$4),"m")&lt;=60,LOOKUP(2,1/(I12&gt;=INDEX(IF(E12="x",CCTT!$B$4:$E$64,CCTT!$F$4:$I$64),MATCH(DATEDIF(D12,DATE($X$4,$W$4,$V$4),"m"),CCTT!$A$4:$A$64,0),0)),CCTT!$B$3:$E$3),LOOKUP(2,1/(I12&gt;=INDEX(IF(E12="x",CCTT!$B$70:$E$93,CCTT!$F$70:$I$93),MATCH(DATEDIF(D12,DATE($X$4,$W$4,$V$4),"m"),CCTT!$A$70:$A$93,0),0)),CCTT!B$69:E$69))</f>
        <v>bt</v>
      </c>
      <c r="K12" s="146" t="str">
        <f>IF(DATEDIF(D12,DATE($X$4,$W$4,$V$4),"m")&lt;24,LOOKUP(2,1/(G12&gt;=INDEX(IF(E12="x",CNTCC!$B$4:$F$134,CNTCC!$F$4),MATCH(I12,CNTCC!$A$4:$A$134,0),0)),CNTCC!$B$3:$F$3),IF(AND(DATEDIF(D12,DATE($X$4,$W$4,$V$4),"m")&gt;=24,DATEDIF(D12,DATE($X$4,$W$4,$V$4),"m")&lt;=60),LOOKUP(2,1/(G12&gt;=INDEX(IF(E12="x",CNTCC!$B$141:$F$251,CNTCC!$G$141:$K$251),MATCH(I12,CNTCC!$A$141:$A$251,0),0)),CNTCC!$B$140:$F$140),0))</f>
        <v>bt</v>
      </c>
      <c r="L12" s="145" t="s">
        <v>22</v>
      </c>
      <c r="M12" s="145" t="s">
        <v>22</v>
      </c>
      <c r="N12" s="145" t="s">
        <v>22</v>
      </c>
      <c r="O12" s="145" t="s">
        <v>22</v>
      </c>
      <c r="P12" s="145" t="s">
        <v>22</v>
      </c>
      <c r="Q12" s="145" t="s">
        <v>22</v>
      </c>
      <c r="R12" s="147" t="s">
        <v>23</v>
      </c>
      <c r="S12" s="148" t="str">
        <f t="shared" si="0"/>
        <v>Nguyễn Minh</v>
      </c>
      <c r="T12" s="148">
        <f t="shared" si="1"/>
        <v>26</v>
      </c>
      <c r="U12" s="148">
        <f t="shared" si="2"/>
        <v>15.215553677092137</v>
      </c>
      <c r="Y12" s="148">
        <f>SUM(AB10:AD10)</f>
        <v>14</v>
      </c>
    </row>
    <row r="13" spans="1:37" s="148" customFormat="1" ht="18" customHeight="1">
      <c r="A13" s="138">
        <v>4</v>
      </c>
      <c r="B13" s="139" t="s">
        <v>251</v>
      </c>
      <c r="C13" s="149" t="s">
        <v>252</v>
      </c>
      <c r="D13" s="151">
        <v>45440</v>
      </c>
      <c r="E13" s="142" t="s">
        <v>189</v>
      </c>
      <c r="F13" s="143"/>
      <c r="G13" s="144">
        <v>11.4</v>
      </c>
      <c r="H13" s="145" t="str">
        <f>IF(DATEDIF(D13,DATE($X$4,$W$4,$V$4),"m")&lt;=60,LOOKUP(2,1/(G13&gt;=INDEX(IF(E13="x",CNTT!$B$4:$E$64,CNTT!$F$4:$I$64),MATCH(DATEDIF(D13,DATE($X$4,$W$4,$V$4),"m"),CNTT!$A$4:$A$64,0),0)),CNTT!$B$3:$E$3),LOOKUP(2,1/(G13&gt;=INDEX(IF(E13="x",CNTT!$B$70:$E$93,CNTT!$F$70:$I$93),MATCH(DATEDIF(D13,DATE($X$4,$W$4,$V$4),"m"),CNTT!$A$70:$A$93,0),0)),CNTT!$B$69:$E$69))</f>
        <v>bt</v>
      </c>
      <c r="I13" s="145">
        <v>84</v>
      </c>
      <c r="J13" s="146" t="str">
        <f>IF(DATEDIF(D13,DATE($X$4,$W$4,$V$4),"m")&lt;=60,LOOKUP(2,1/(I13&gt;=INDEX(IF(E13="x",CCTT!$B$4:$E$64,CCTT!$F$4:$I$64),MATCH(DATEDIF(D13,DATE($X$4,$W$4,$V$4),"m"),CCTT!$A$4:$A$64,0),0)),CCTT!$B$3:$E$3),LOOKUP(2,1/(I13&gt;=INDEX(IF(E13="x",CCTT!$B$70:$E$93,CCTT!$F$70:$I$93),MATCH(DATEDIF(D13,DATE($X$4,$W$4,$V$4),"m"),CCTT!$A$70:$A$93,0),0)),CCTT!B$69:E$69))</f>
        <v>bt</v>
      </c>
      <c r="K13" s="146" t="str">
        <f>IF(DATEDIF(D13,DATE($X$4,$W$4,$V$4),"m")&lt;24,LOOKUP(2,1/(G13&gt;=INDEX(IF(E13="x",CNTCC!$B$4:$F$134,CNTCC!$F$4),MATCH(I13,CNTCC!$A$4:$A$134,0),0)),CNTCC!$B$3:$F$3),IF(AND(DATEDIF(D13,DATE($X$4,$W$4,$V$4),"m")&gt;=24,DATEDIF(D13,DATE($X$4,$W$4,$V$4),"m")&lt;=60),LOOKUP(2,1/(G13&gt;=INDEX(IF(E13="x",CNTCC!$B$141:$F$251,CNTCC!$G$141:$K$251),MATCH(I13,CNTCC!$A$141:$A$251,0),0)),CNTCC!$B$140:$F$140),0))</f>
        <v>bt</v>
      </c>
      <c r="L13" s="145" t="s">
        <v>22</v>
      </c>
      <c r="M13" s="145" t="s">
        <v>22</v>
      </c>
      <c r="N13" s="145" t="s">
        <v>22</v>
      </c>
      <c r="O13" s="145" t="s">
        <v>22</v>
      </c>
      <c r="P13" s="145" t="s">
        <v>22</v>
      </c>
      <c r="Q13" s="145" t="s">
        <v>22</v>
      </c>
      <c r="R13" s="147" t="s">
        <v>23</v>
      </c>
      <c r="S13" s="148" t="str">
        <f t="shared" si="0"/>
        <v>Hoàng Tùng</v>
      </c>
      <c r="T13" s="148">
        <f t="shared" si="1"/>
        <v>27</v>
      </c>
      <c r="U13" s="148">
        <f t="shared" si="2"/>
        <v>16.156462585034017</v>
      </c>
      <c r="Y13" s="148">
        <f>SUM(AE10:AH10)</f>
        <v>14</v>
      </c>
    </row>
    <row r="14" spans="1:37" s="148" customFormat="1" ht="16.8">
      <c r="A14" s="138">
        <v>5</v>
      </c>
      <c r="B14" s="139" t="s">
        <v>253</v>
      </c>
      <c r="C14" s="149" t="s">
        <v>254</v>
      </c>
      <c r="D14" s="151">
        <v>45343</v>
      </c>
      <c r="E14" s="142"/>
      <c r="F14" s="150" t="s">
        <v>189</v>
      </c>
      <c r="G14" s="144">
        <v>12.2</v>
      </c>
      <c r="H14" s="145" t="str">
        <f>IF(DATEDIF(D14,DATE($X$4,$W$4,$V$4),"m")&lt;=60,LOOKUP(2,1/(G14&gt;=INDEX(IF(E14="x",CNTT!$B$4:$E$64,CNTT!$F$4:$I$64),MATCH(DATEDIF(D14,DATE($X$4,$W$4,$V$4),"m"),CNTT!$A$4:$A$64,0),0)),CNTT!$B$3:$E$3),LOOKUP(2,1/(G14&gt;=INDEX(IF(E14="x",CNTT!$B$70:$E$93,CNTT!$F$70:$I$93),MATCH(DATEDIF(D14,DATE($X$4,$W$4,$V$4),"m"),CNTT!$A$70:$A$93,0),0)),CNTT!$B$69:$E$69))</f>
        <v>bt</v>
      </c>
      <c r="I14" s="145">
        <v>89</v>
      </c>
      <c r="J14" s="146" t="str">
        <f>IF(DATEDIF(D14,DATE($X$4,$W$4,$V$4),"m")&lt;=60,LOOKUP(2,1/(I14&gt;=INDEX(IF(E14="x",CCTT!$B$4:$E$64,CCTT!$F$4:$I$64),MATCH(DATEDIF(D14,DATE($X$4,$W$4,$V$4),"m"),CCTT!$A$4:$A$64,0),0)),CCTT!$B$3:$E$3),LOOKUP(2,1/(I14&gt;=INDEX(IF(E14="x",CCTT!$B$70:$E$93,CCTT!$F$70:$I$93),MATCH(DATEDIF(D14,DATE($X$4,$W$4,$V$4),"m"),CCTT!$A$70:$A$93,0),0)),CCTT!B$69:E$69))</f>
        <v>bt</v>
      </c>
      <c r="K14" s="146" t="str">
        <f>IF(DATEDIF(D14,DATE($X$4,$W$4,$V$4),"m")&lt;24,LOOKUP(2,1/(G14&gt;=INDEX(IF(E14="x",CNTCC!$B$4:$F$134,CNTCC!$F$4),MATCH(I14,CNTCC!$A$4:$A$134,0),0)),CNTCC!$B$3:$F$3),IF(AND(DATEDIF(D14,DATE($X$4,$W$4,$V$4),"m")&gt;=24,DATEDIF(D14,DATE($X$4,$W$4,$V$4),"m")&lt;=60),LOOKUP(2,1/(G14&gt;=INDEX(IF(E14="x",CNTCC!$B$141:$F$251,CNTCC!$G$141:$K$251),MATCH(I14,CNTCC!$A$141:$A$251,0),0)),CNTCC!$B$140:$F$140),0))</f>
        <v>bt</v>
      </c>
      <c r="L14" s="145" t="s">
        <v>22</v>
      </c>
      <c r="M14" s="145" t="s">
        <v>22</v>
      </c>
      <c r="N14" s="145" t="s">
        <v>22</v>
      </c>
      <c r="O14" s="145" t="s">
        <v>22</v>
      </c>
      <c r="P14" s="145" t="s">
        <v>22</v>
      </c>
      <c r="Q14" s="145" t="s">
        <v>22</v>
      </c>
      <c r="R14" s="147" t="s">
        <v>23</v>
      </c>
      <c r="S14" s="148" t="str">
        <f t="shared" si="0"/>
        <v>Nguyễn Ái</v>
      </c>
      <c r="T14" s="148">
        <f t="shared" si="1"/>
        <v>30</v>
      </c>
      <c r="U14" s="148">
        <f t="shared" si="2"/>
        <v>15.402095694988006</v>
      </c>
      <c r="Y14" s="148">
        <f>SUM(AI10:AK10)</f>
        <v>14</v>
      </c>
    </row>
    <row r="15" spans="1:37" s="148" customFormat="1" ht="16.8">
      <c r="A15" s="138">
        <v>6</v>
      </c>
      <c r="B15" s="139" t="s">
        <v>255</v>
      </c>
      <c r="C15" s="149" t="s">
        <v>10</v>
      </c>
      <c r="D15" s="151">
        <v>45514</v>
      </c>
      <c r="E15" s="142" t="s">
        <v>189</v>
      </c>
      <c r="F15" s="143"/>
      <c r="G15" s="144">
        <v>11</v>
      </c>
      <c r="H15" s="145" t="str">
        <f>IF(DATEDIF(D15,DATE($X$4,$W$4,$V$4),"m")&lt;=60,LOOKUP(2,1/(G15&gt;=INDEX(IF(E15="x",CNTT!$B$4:$E$64,CNTT!$F$4:$I$64),MATCH(DATEDIF(D15,DATE($X$4,$W$4,$V$4),"m"),CNTT!$A$4:$A$64,0),0)),CNTT!$B$3:$E$3),LOOKUP(2,1/(G15&gt;=INDEX(IF(E15="x",CNTT!$B$70:$E$93,CNTT!$F$70:$I$93),MATCH(DATEDIF(D15,DATE($X$4,$W$4,$V$4),"m"),CNTT!$A$70:$A$93,0),0)),CNTT!$B$69:$E$69))</f>
        <v>bt</v>
      </c>
      <c r="I15" s="145">
        <v>84</v>
      </c>
      <c r="J15" s="146" t="str">
        <f>IF(DATEDIF(D15,DATE($X$4,$W$4,$V$4),"m")&lt;=60,LOOKUP(2,1/(I15&gt;=INDEX(IF(E15="x",CCTT!$B$4:$E$64,CCTT!$F$4:$I$64),MATCH(DATEDIF(D15,DATE($X$4,$W$4,$V$4),"m"),CCTT!$A$4:$A$64,0),0)),CCTT!$B$3:$E$3),LOOKUP(2,1/(I15&gt;=INDEX(IF(E15="x",CCTT!$B$70:$E$93,CCTT!$F$70:$I$93),MATCH(DATEDIF(D15,DATE($X$4,$W$4,$V$4),"m"),CCTT!$A$70:$A$93,0),0)),CCTT!B$69:E$69))</f>
        <v>bt</v>
      </c>
      <c r="K15" s="146" t="str">
        <f>IF(DATEDIF(D15,DATE($X$4,$W$4,$V$4),"m")&lt;24,LOOKUP(2,1/(G15&gt;=INDEX(IF(E15="x",CNTCC!$B$4:$F$134,CNTCC!$F$4),MATCH(I15,CNTCC!$A$4:$A$134,0),0)),CNTCC!$B$3:$F$3),IF(AND(DATEDIF(D15,DATE($X$4,$W$4,$V$4),"m")&gt;=24,DATEDIF(D15,DATE($X$4,$W$4,$V$4),"m")&lt;=60),LOOKUP(2,1/(G15&gt;=INDEX(IF(E15="x",CNTCC!$B$141:$F$251,CNTCC!$G$141:$K$251),MATCH(I15,CNTCC!$A$141:$A$251,0),0)),CNTCC!$B$140:$F$140),0))</f>
        <v>bt</v>
      </c>
      <c r="L15" s="145" t="s">
        <v>22</v>
      </c>
      <c r="M15" s="145" t="s">
        <v>22</v>
      </c>
      <c r="N15" s="145" t="s">
        <v>22</v>
      </c>
      <c r="O15" s="145" t="s">
        <v>22</v>
      </c>
      <c r="P15" s="145" t="s">
        <v>22</v>
      </c>
      <c r="Q15" s="145" t="s">
        <v>22</v>
      </c>
      <c r="R15" s="147" t="s">
        <v>23</v>
      </c>
      <c r="S15" s="148" t="str">
        <f t="shared" si="0"/>
        <v xml:space="preserve">Nguyễn Bảo </v>
      </c>
      <c r="T15" s="148">
        <f t="shared" si="1"/>
        <v>24</v>
      </c>
      <c r="U15" s="148">
        <f t="shared" si="2"/>
        <v>15.589569160997735</v>
      </c>
    </row>
    <row r="16" spans="1:37" s="148" customFormat="1" ht="16.8">
      <c r="A16" s="138">
        <v>7</v>
      </c>
      <c r="B16" s="139" t="s">
        <v>256</v>
      </c>
      <c r="C16" s="149" t="s">
        <v>257</v>
      </c>
      <c r="D16" s="151">
        <v>45417</v>
      </c>
      <c r="E16" s="142"/>
      <c r="F16" s="143" t="s">
        <v>189</v>
      </c>
      <c r="G16" s="144">
        <v>11.4</v>
      </c>
      <c r="H16" s="145" t="str">
        <f>IF(DATEDIF(D16,DATE($X$4,$W$4,$V$4),"m")&lt;=60,LOOKUP(2,1/(G16&gt;=INDEX(IF(E16="x",CNTT!$B$4:$E$64,CNTT!$F$4:$I$64),MATCH(DATEDIF(D16,DATE($X$4,$W$4,$V$4),"m"),CNTT!$A$4:$A$64,0),0)),CNTT!$B$3:$E$3),LOOKUP(2,1/(G16&gt;=INDEX(IF(E16="x",CNTT!$B$70:$E$93,CNTT!$F$70:$I$93),MATCH(DATEDIF(D16,DATE($X$4,$W$4,$V$4),"m"),CNTT!$A$70:$A$93,0),0)),CNTT!$B$69:$E$69))</f>
        <v>bt</v>
      </c>
      <c r="I16" s="145">
        <v>88</v>
      </c>
      <c r="J16" s="146" t="str">
        <f>IF(DATEDIF(D16,DATE($X$4,$W$4,$V$4),"m")&lt;=60,LOOKUP(2,1/(I16&gt;=INDEX(IF(E16="x",CCTT!$B$4:$E$64,CCTT!$F$4:$I$64),MATCH(DATEDIF(D16,DATE($X$4,$W$4,$V$4),"m"),CCTT!$A$4:$A$64,0),0)),CCTT!$B$3:$E$3),LOOKUP(2,1/(I16&gt;=INDEX(IF(E16="x",CCTT!$B$70:$E$93,CCTT!$F$70:$I$93),MATCH(DATEDIF(D16,DATE($X$4,$W$4,$V$4),"m"),CCTT!$A$70:$A$93,0),0)),CCTT!B$69:E$69))</f>
        <v>bt</v>
      </c>
      <c r="K16" s="146" t="str">
        <f>IF(DATEDIF(D16,DATE($X$4,$W$4,$V$4),"m")&lt;24,LOOKUP(2,1/(G16&gt;=INDEX(IF(E16="x",CNTCC!$B$4:$F$134,CNTCC!$F$4),MATCH(I16,CNTCC!$A$4:$A$134,0),0)),CNTCC!$B$3:$F$3),IF(AND(DATEDIF(D16,DATE($X$4,$W$4,$V$4),"m")&gt;=24,DATEDIF(D16,DATE($X$4,$W$4,$V$4),"m")&lt;=60),LOOKUP(2,1/(G16&gt;=INDEX(IF(E16="x",CNTCC!$B$141:$F$251,CNTCC!$G$141:$K$251),MATCH(I16,CNTCC!$A$141:$A$251,0),0)),CNTCC!$B$140:$F$140),0))</f>
        <v>bt</v>
      </c>
      <c r="L16" s="145" t="s">
        <v>22</v>
      </c>
      <c r="M16" s="145" t="s">
        <v>22</v>
      </c>
      <c r="N16" s="145" t="s">
        <v>22</v>
      </c>
      <c r="O16" s="145" t="s">
        <v>22</v>
      </c>
      <c r="P16" s="145" t="s">
        <v>22</v>
      </c>
      <c r="Q16" s="145" t="s">
        <v>22</v>
      </c>
      <c r="R16" s="147" t="s">
        <v>23</v>
      </c>
      <c r="S16" s="148" t="str">
        <f t="shared" si="0"/>
        <v>Ngô Phúc An</v>
      </c>
      <c r="T16" s="148">
        <f t="shared" si="1"/>
        <v>27</v>
      </c>
      <c r="U16" s="148">
        <f t="shared" si="2"/>
        <v>14.721074380165291</v>
      </c>
    </row>
    <row r="17" spans="1:21" s="148" customFormat="1" ht="16.8">
      <c r="A17" s="138">
        <v>8</v>
      </c>
      <c r="B17" s="152" t="s">
        <v>258</v>
      </c>
      <c r="C17" s="153" t="s">
        <v>221</v>
      </c>
      <c r="D17" s="151">
        <v>45528</v>
      </c>
      <c r="E17" s="142"/>
      <c r="F17" s="150" t="s">
        <v>189</v>
      </c>
      <c r="G17" s="144">
        <v>14.6</v>
      </c>
      <c r="H17" s="155" t="s">
        <v>41</v>
      </c>
      <c r="I17" s="145">
        <v>90</v>
      </c>
      <c r="J17" s="146" t="str">
        <f>IF(DATEDIF(D17,DATE($X$4,$W$4,$V$4),"m")&lt;=60,LOOKUP(2,1/(I17&gt;=INDEX(IF(E17="x",CCTT!$B$4:$E$64,CCTT!$F$4:$I$64),MATCH(DATEDIF(D17,DATE($X$4,$W$4,$V$4),"m"),CCTT!$A$4:$A$64,0),0)),CCTT!$B$3:$E$3),LOOKUP(2,1/(I17&gt;=INDEX(IF(E17="x",CCTT!$B$70:$E$93,CCTT!$F$70:$I$93),MATCH(DATEDIF(D17,DATE($X$4,$W$4,$V$4),"m"),CCTT!$A$70:$A$93,0),0)),CCTT!B$69:E$69))</f>
        <v>bt</v>
      </c>
      <c r="K17" s="146" t="str">
        <f>IF(DATEDIF(D17,DATE($X$4,$W$4,$V$4),"m")&lt;24,LOOKUP(2,1/(G17&gt;=INDEX(IF(E17="x",CNTCC!$B$4:$F$134,CNTCC!$F$4),MATCH(I17,CNTCC!$A$4:$A$134,0),0)),CNTCC!$B$3:$F$3),IF(AND(DATEDIF(D17,DATE($X$4,$W$4,$V$4),"m")&gt;=24,DATEDIF(D17,DATE($X$4,$W$4,$V$4),"m")&lt;=60),LOOKUP(2,1/(G17&gt;=INDEX(IF(E17="x",CNTCC!$B$141:$F$251,CNTCC!$G$141:$K$251),MATCH(I17,CNTCC!$A$141:$A$251,0),0)),CNTCC!$B$140:$F$140),0))</f>
        <v>bt</v>
      </c>
      <c r="L17" s="145" t="s">
        <v>22</v>
      </c>
      <c r="M17" s="145" t="s">
        <v>22</v>
      </c>
      <c r="N17" s="145" t="s">
        <v>22</v>
      </c>
      <c r="O17" s="145" t="s">
        <v>22</v>
      </c>
      <c r="P17" s="145" t="s">
        <v>22</v>
      </c>
      <c r="Q17" s="145" t="s">
        <v>22</v>
      </c>
      <c r="R17" s="147" t="s">
        <v>23</v>
      </c>
      <c r="S17" s="148" t="str">
        <f t="shared" si="0"/>
        <v>Bùi Tấn</v>
      </c>
      <c r="T17" s="148">
        <f t="shared" si="1"/>
        <v>24</v>
      </c>
      <c r="U17" s="148">
        <f t="shared" si="2"/>
        <v>18.02469135802469</v>
      </c>
    </row>
    <row r="18" spans="1:21" s="148" customFormat="1" ht="16.8">
      <c r="A18" s="138">
        <v>9</v>
      </c>
      <c r="B18" s="139" t="s">
        <v>259</v>
      </c>
      <c r="C18" s="149" t="s">
        <v>161</v>
      </c>
      <c r="D18" s="154">
        <v>45589</v>
      </c>
      <c r="E18" s="142" t="s">
        <v>189</v>
      </c>
      <c r="F18" s="150"/>
      <c r="G18" s="144">
        <v>12</v>
      </c>
      <c r="H18" s="145" t="str">
        <f>IF(DATEDIF(D18,DATE($X$4,$W$4,$V$4),"m")&lt;=60,LOOKUP(2,1/(G18&gt;=INDEX(IF(E18="x",CNTT!$B$4:$E$64,CNTT!$F$4:$I$64),MATCH(DATEDIF(D18,DATE($X$4,$W$4,$V$4),"m"),CNTT!$A$4:$A$64,0),0)),CNTT!$B$3:$E$3),LOOKUP(2,1/(G18&gt;=INDEX(IF(E18="x",CNTT!$B$70:$E$93,CNTT!$F$70:$I$93),MATCH(DATEDIF(D18,DATE($X$4,$W$4,$V$4),"m"),CNTT!$A$70:$A$93,0),0)),CNTT!$B$69:$E$69))</f>
        <v>bt</v>
      </c>
      <c r="I18" s="145">
        <v>87</v>
      </c>
      <c r="J18" s="146" t="str">
        <f>IF(DATEDIF(D18,DATE($X$4,$W$4,$V$4),"m")&lt;=60,LOOKUP(2,1/(I18&gt;=INDEX(IF(E18="x",CCTT!$B$4:$E$64,CCTT!$F$4:$I$64),MATCH(DATEDIF(D18,DATE($X$4,$W$4,$V$4),"m"),CCTT!$A$4:$A$64,0),0)),CCTT!$B$3:$E$3),LOOKUP(2,1/(I18&gt;=INDEX(IF(E18="x",CCTT!$B$70:$E$93,CCTT!$F$70:$I$93),MATCH(DATEDIF(D18,DATE($X$4,$W$4,$V$4),"m"),CCTT!$A$70:$A$93,0),0)),CCTT!B$69:E$69))</f>
        <v>bt</v>
      </c>
      <c r="K18" s="146" t="str">
        <f>IF(DATEDIF(D18,DATE($X$4,$W$4,$V$4),"m")&lt;24,LOOKUP(2,1/(G18&gt;=INDEX(IF(E18="x",CNTCC!$B$4:$F$134,CNTCC!$F$4),MATCH(I18,CNTCC!$A$4:$A$134,0),0)),CNTCC!$B$3:$F$3),IF(AND(DATEDIF(D18,DATE($X$4,$W$4,$V$4),"m")&gt;=24,DATEDIF(D18,DATE($X$4,$W$4,$V$4),"m")&lt;=60),LOOKUP(2,1/(G18&gt;=INDEX(IF(E18="x",CNTCC!$B$141:$F$251,CNTCC!$G$141:$K$251),MATCH(I18,CNTCC!$A$141:$A$251,0),0)),CNTCC!$B$140:$F$140),0))</f>
        <v>bt</v>
      </c>
      <c r="L18" s="145" t="s">
        <v>22</v>
      </c>
      <c r="M18" s="145" t="s">
        <v>22</v>
      </c>
      <c r="N18" s="145" t="s">
        <v>22</v>
      </c>
      <c r="O18" s="145" t="s">
        <v>22</v>
      </c>
      <c r="P18" s="145" t="s">
        <v>22</v>
      </c>
      <c r="Q18" s="145" t="s">
        <v>22</v>
      </c>
      <c r="R18" s="147" t="s">
        <v>23</v>
      </c>
      <c r="S18" s="148" t="str">
        <f t="shared" si="0"/>
        <v>Nguyễn Quốc Thiên</v>
      </c>
      <c r="T18" s="148">
        <f t="shared" si="1"/>
        <v>22</v>
      </c>
      <c r="U18" s="148">
        <f t="shared" si="2"/>
        <v>15.854141894569956</v>
      </c>
    </row>
    <row r="19" spans="1:21" s="148" customFormat="1" ht="16.8">
      <c r="A19" s="138">
        <v>10</v>
      </c>
      <c r="B19" s="139" t="s">
        <v>260</v>
      </c>
      <c r="C19" s="140" t="s">
        <v>161</v>
      </c>
      <c r="D19" s="151">
        <v>45516</v>
      </c>
      <c r="E19" s="142" t="s">
        <v>189</v>
      </c>
      <c r="F19" s="150"/>
      <c r="G19" s="144">
        <v>14.6</v>
      </c>
      <c r="H19" s="145" t="str">
        <f>IF(DATEDIF(D19,DATE($X$4,$W$4,$V$4),"m")&lt;=60,LOOKUP(2,1/(G19&gt;=INDEX(IF(E19="x",CNTT!$B$4:$E$64,CNTT!$F$4:$I$64),MATCH(DATEDIF(D19,DATE($X$4,$W$4,$V$4),"m"),CNTT!$A$4:$A$64,0),0)),CNTT!$B$3:$E$3),LOOKUP(2,1/(G19&gt;=INDEX(IF(E19="x",CNTT!$B$70:$E$93,CNTT!$F$70:$I$93),MATCH(DATEDIF(D19,DATE($X$4,$W$4,$V$4),"m"),CNTT!$A$70:$A$93,0),0)),CNTT!$B$69:$E$69))</f>
        <v>bt</v>
      </c>
      <c r="I19" s="145">
        <v>91</v>
      </c>
      <c r="J19" s="146" t="str">
        <f>IF(DATEDIF(D19,DATE($X$4,$W$4,$V$4),"m")&lt;=60,LOOKUP(2,1/(I19&gt;=INDEX(IF(E19="x",CCTT!$B$4:$E$64,CCTT!$F$4:$I$64),MATCH(DATEDIF(D19,DATE($X$4,$W$4,$V$4),"m"),CCTT!$A$4:$A$64,0),0)),CCTT!$B$3:$E$3),LOOKUP(2,1/(I19&gt;=INDEX(IF(E19="x",CCTT!$B$70:$E$93,CCTT!$F$70:$I$93),MATCH(DATEDIF(D19,DATE($X$4,$W$4,$V$4),"m"),CCTT!$A$70:$A$93,0),0)),CCTT!B$69:E$69))</f>
        <v>bt</v>
      </c>
      <c r="K19" s="146" t="str">
        <f>IF(DATEDIF(D19,DATE($X$4,$W$4,$V$4),"m")&lt;24,LOOKUP(2,1/(G19&gt;=INDEX(IF(E19="x",CNTCC!$B$4:$F$134,CNTCC!$F$4),MATCH(I19,CNTCC!$A$4:$A$134,0),0)),CNTCC!$B$3:$F$3),IF(AND(DATEDIF(D19,DATE($X$4,$W$4,$V$4),"m")&gt;=24,DATEDIF(D19,DATE($X$4,$W$4,$V$4),"m")&lt;=60),LOOKUP(2,1/(G19&gt;=INDEX(IF(E19="x",CNTCC!$B$141:$F$251,CNTCC!$G$141:$K$251),MATCH(I19,CNTCC!$A$141:$A$251,0),0)),CNTCC!$B$140:$F$140),0))</f>
        <v>bt</v>
      </c>
      <c r="L19" s="145" t="s">
        <v>22</v>
      </c>
      <c r="M19" s="145" t="s">
        <v>22</v>
      </c>
      <c r="N19" s="145" t="s">
        <v>22</v>
      </c>
      <c r="O19" s="145" t="s">
        <v>22</v>
      </c>
      <c r="P19" s="145" t="s">
        <v>22</v>
      </c>
      <c r="Q19" s="145" t="s">
        <v>22</v>
      </c>
      <c r="R19" s="147" t="s">
        <v>23</v>
      </c>
      <c r="S19" s="148" t="str">
        <f t="shared" si="0"/>
        <v>Huỳnh Minh</v>
      </c>
      <c r="T19" s="148">
        <f t="shared" si="1"/>
        <v>24</v>
      </c>
      <c r="U19" s="148">
        <f t="shared" si="2"/>
        <v>17.630720927424221</v>
      </c>
    </row>
    <row r="20" spans="1:21" s="148" customFormat="1" ht="16.8">
      <c r="A20" s="138">
        <v>11</v>
      </c>
      <c r="B20" s="139" t="s">
        <v>261</v>
      </c>
      <c r="C20" s="140" t="s">
        <v>262</v>
      </c>
      <c r="D20" s="151">
        <v>45458</v>
      </c>
      <c r="E20" s="142" t="s">
        <v>189</v>
      </c>
      <c r="F20" s="150"/>
      <c r="G20" s="144">
        <v>10.5</v>
      </c>
      <c r="H20" s="145" t="str">
        <f>IF(DATEDIF(D20,DATE($X$4,$W$4,$V$4),"m")&lt;=60,LOOKUP(2,1/(G20&gt;=INDEX(IF(E20="x",CNTT!$B$4:$E$64,CNTT!$F$4:$I$64),MATCH(DATEDIF(D20,DATE($X$4,$W$4,$V$4),"m"),CNTT!$A$4:$A$64,0),0)),CNTT!$B$3:$E$3),LOOKUP(2,1/(G20&gt;=INDEX(IF(E20="x",CNTT!$B$70:$E$93,CNTT!$F$70:$I$93),MATCH(DATEDIF(D20,DATE($X$4,$W$4,$V$4),"m"),CNTT!$A$70:$A$93,0),0)),CNTT!$B$69:$E$69))</f>
        <v>bt</v>
      </c>
      <c r="I20" s="145">
        <v>85</v>
      </c>
      <c r="J20" s="146" t="str">
        <f>IF(DATEDIF(D20,DATE($X$4,$W$4,$V$4),"m")&lt;=60,LOOKUP(2,1/(I20&gt;=INDEX(IF(E20="x",CCTT!$B$4:$E$64,CCTT!$F$4:$I$64),MATCH(DATEDIF(D20,DATE($X$4,$W$4,$V$4),"m"),CCTT!$A$4:$A$64,0),0)),CCTT!$B$3:$E$3),LOOKUP(2,1/(I20&gt;=INDEX(IF(E20="x",CCTT!$B$70:$E$93,CCTT!$F$70:$I$93),MATCH(DATEDIF(D20,DATE($X$4,$W$4,$V$4),"m"),CCTT!$A$70:$A$93,0),0)),CCTT!B$69:E$69))</f>
        <v>bt</v>
      </c>
      <c r="K20" s="146" t="str">
        <f>IF(DATEDIF(D20,DATE($X$4,$W$4,$V$4),"m")&lt;24,LOOKUP(2,1/(G20&gt;=INDEX(IF(E20="x",CNTCC!$B$4:$F$134,CNTCC!$F$4),MATCH(I20,CNTCC!$A$4:$A$134,0),0)),CNTCC!$B$3:$F$3),IF(AND(DATEDIF(D20,DATE($X$4,$W$4,$V$4),"m")&gt;=24,DATEDIF(D20,DATE($X$4,$W$4,$V$4),"m")&lt;=60),LOOKUP(2,1/(G20&gt;=INDEX(IF(E20="x",CNTCC!$B$141:$F$251,CNTCC!$G$141:$K$251),MATCH(I20,CNTCC!$A$141:$A$251,0),0)),CNTCC!$B$140:$F$140),0))</f>
        <v>bt</v>
      </c>
      <c r="L20" s="145" t="s">
        <v>22</v>
      </c>
      <c r="M20" s="145" t="s">
        <v>22</v>
      </c>
      <c r="N20" s="145" t="s">
        <v>22</v>
      </c>
      <c r="O20" s="145" t="s">
        <v>22</v>
      </c>
      <c r="P20" s="145" t="s">
        <v>22</v>
      </c>
      <c r="Q20" s="145" t="s">
        <v>22</v>
      </c>
      <c r="R20" s="147" t="s">
        <v>23</v>
      </c>
      <c r="S20" s="148" t="str">
        <f t="shared" si="0"/>
        <v xml:space="preserve"> Nguyễn Hiếu</v>
      </c>
      <c r="T20" s="148">
        <f t="shared" si="1"/>
        <v>26</v>
      </c>
      <c r="U20" s="148">
        <f t="shared" si="2"/>
        <v>14.532871972318341</v>
      </c>
    </row>
    <row r="21" spans="1:21" s="148" customFormat="1" ht="16.8">
      <c r="A21" s="138">
        <v>12</v>
      </c>
      <c r="B21" s="139" t="s">
        <v>263</v>
      </c>
      <c r="C21" s="140" t="s">
        <v>160</v>
      </c>
      <c r="D21" s="151">
        <v>45381</v>
      </c>
      <c r="E21" s="142"/>
      <c r="F21" s="150" t="s">
        <v>189</v>
      </c>
      <c r="G21" s="144">
        <v>12.5</v>
      </c>
      <c r="H21" s="145" t="str">
        <f>IF(DATEDIF(D21,DATE($X$4,$W$4,$V$4),"m")&lt;=60,LOOKUP(2,1/(G21&gt;=INDEX(IF(E21="x",CNTT!$B$4:$E$64,CNTT!$F$4:$I$64),MATCH(DATEDIF(D21,DATE($X$4,$W$4,$V$4),"m"),CNTT!$A$4:$A$64,0),0)),CNTT!$B$3:$E$3),LOOKUP(2,1/(G21&gt;=INDEX(IF(E21="x",CNTT!$B$70:$E$93,CNTT!$F$70:$I$93),MATCH(DATEDIF(D21,DATE($X$4,$W$4,$V$4),"m"),CNTT!$A$70:$A$93,0),0)),CNTT!$B$69:$E$69))</f>
        <v>bt</v>
      </c>
      <c r="I21" s="145">
        <v>90</v>
      </c>
      <c r="J21" s="146" t="str">
        <f>IF(DATEDIF(D21,DATE($X$4,$W$4,$V$4),"m")&lt;=60,LOOKUP(2,1/(I21&gt;=INDEX(IF(E21="x",CCTT!$B$4:$E$64,CCTT!$F$4:$I$64),MATCH(DATEDIF(D21,DATE($X$4,$W$4,$V$4),"m"),CCTT!$A$4:$A$64,0),0)),CCTT!$B$3:$E$3),LOOKUP(2,1/(I21&gt;=INDEX(IF(E21="x",CCTT!$B$70:$E$93,CCTT!$F$70:$I$93),MATCH(DATEDIF(D21,DATE($X$4,$W$4,$V$4),"m"),CCTT!$A$70:$A$93,0),0)),CCTT!B$69:E$69))</f>
        <v>bt</v>
      </c>
      <c r="K21" s="146" t="str">
        <f>IF(DATEDIF(D21,DATE($X$4,$W$4,$V$4),"m")&lt;24,LOOKUP(2,1/(G21&gt;=INDEX(IF(E21="x",CNTCC!$B$4:$F$134,CNTCC!$F$4),MATCH(I21,CNTCC!$A$4:$A$134,0),0)),CNTCC!$B$3:$F$3),IF(AND(DATEDIF(D21,DATE($X$4,$W$4,$V$4),"m")&gt;=24,DATEDIF(D21,DATE($X$4,$W$4,$V$4),"m")&lt;=60),LOOKUP(2,1/(G21&gt;=INDEX(IF(E21="x",CNTCC!$B$141:$F$251,CNTCC!$G$141:$K$251),MATCH(I21,CNTCC!$A$141:$A$251,0),0)),CNTCC!$B$140:$F$140),0))</f>
        <v>bt</v>
      </c>
      <c r="L21" s="145" t="s">
        <v>22</v>
      </c>
      <c r="M21" s="145" t="s">
        <v>22</v>
      </c>
      <c r="N21" s="145" t="s">
        <v>22</v>
      </c>
      <c r="O21" s="145" t="s">
        <v>22</v>
      </c>
      <c r="P21" s="145" t="s">
        <v>22</v>
      </c>
      <c r="Q21" s="145" t="s">
        <v>22</v>
      </c>
      <c r="R21" s="147" t="s">
        <v>23</v>
      </c>
      <c r="S21" s="148" t="str">
        <f t="shared" si="0"/>
        <v>Nguyễn Ngọc Uyên</v>
      </c>
      <c r="T21" s="148">
        <f t="shared" si="1"/>
        <v>29</v>
      </c>
      <c r="U21" s="148">
        <f t="shared" si="2"/>
        <v>15.432098765432098</v>
      </c>
    </row>
    <row r="22" spans="1:21" s="148" customFormat="1" ht="78">
      <c r="A22" s="138">
        <v>13</v>
      </c>
      <c r="B22" s="139" t="s">
        <v>264</v>
      </c>
      <c r="C22" s="140" t="s">
        <v>265</v>
      </c>
      <c r="D22" s="151" t="s">
        <v>266</v>
      </c>
      <c r="E22" s="142"/>
      <c r="F22" s="150" t="s">
        <v>189</v>
      </c>
      <c r="G22" s="144">
        <v>12.6</v>
      </c>
      <c r="H22" s="145" t="str">
        <f>IF(DATEDIF(D22,DATE($X$4,$W$4,$V$4),"m")&lt;=60,LOOKUP(2,1/(G22&gt;=INDEX(IF(E22="x",CNTT!$B$4:$E$64,CNTT!$F$4:$I$64),MATCH(DATEDIF(D22,DATE($X$4,$W$4,$V$4),"m"),CNTT!$A$4:$A$64,0),0)),CNTT!$B$3:$E$3),LOOKUP(2,1/(G22&gt;=INDEX(IF(E22="x",CNTT!$B$70:$E$93,CNTT!$F$70:$I$93),MATCH(DATEDIF(D22,DATE($X$4,$W$4,$V$4),"m"),CNTT!$A$70:$A$93,0),0)),CNTT!$B$69:$E$69))</f>
        <v>bt</v>
      </c>
      <c r="I22" s="145">
        <v>88</v>
      </c>
      <c r="J22" s="146" t="str">
        <f>IF(DATEDIF(D22,DATE($X$4,$W$4,$V$4),"m")&lt;=60,LOOKUP(2,1/(I22&gt;=INDEX(IF(E22="x",CCTT!$B$4:$E$64,CCTT!$F$4:$I$64),MATCH(DATEDIF(D22,DATE($X$4,$W$4,$V$4),"m"),CCTT!$A$4:$A$64,0),0)),CCTT!$B$3:$E$3),LOOKUP(2,1/(I22&gt;=INDEX(IF(E22="x",CCTT!$B$70:$E$93,CCTT!$F$70:$I$93),MATCH(DATEDIF(D22,DATE($X$4,$W$4,$V$4),"m"),CCTT!$A$70:$A$93,0),0)),CCTT!B$69:E$69))</f>
        <v>bt</v>
      </c>
      <c r="K22" s="146" t="str">
        <f>IF(DATEDIF(D22,DATE($X$4,$W$4,$V$4),"m")&lt;24,LOOKUP(2,1/(G22&gt;=INDEX(IF(E22="x",CNTCC!$B$4:$F$134,CNTCC!$F$4),MATCH(I22,CNTCC!$A$4:$A$134,0),0)),CNTCC!$B$3:$F$3),IF(AND(DATEDIF(D22,DATE($X$4,$W$4,$V$4),"m")&gt;=24,DATEDIF(D22,DATE($X$4,$W$4,$V$4),"m")&lt;=60),LOOKUP(2,1/(G22&gt;=INDEX(IF(E22="x",CNTCC!$B$141:$F$251,CNTCC!$G$141:$K$251),MATCH(I22,CNTCC!$A$141:$A$251,0),0)),CNTCC!$B$140:$F$140),0))</f>
        <v>bt</v>
      </c>
      <c r="L22" s="145" t="s">
        <v>22</v>
      </c>
      <c r="M22" s="145" t="s">
        <v>22</v>
      </c>
      <c r="N22" s="145" t="s">
        <v>22</v>
      </c>
      <c r="O22" s="145" t="s">
        <v>22</v>
      </c>
      <c r="P22" s="157" t="s">
        <v>440</v>
      </c>
      <c r="Q22" s="145" t="s">
        <v>22</v>
      </c>
      <c r="R22" s="147" t="s">
        <v>57</v>
      </c>
      <c r="S22" s="148" t="str">
        <f t="shared" si="0"/>
        <v xml:space="preserve">Nguyễn Khánh </v>
      </c>
      <c r="T22" s="148">
        <f t="shared" si="1"/>
        <v>28</v>
      </c>
      <c r="U22" s="148">
        <f t="shared" si="2"/>
        <v>16.270661157024794</v>
      </c>
    </row>
    <row r="23" spans="1:21" s="148" customFormat="1" ht="16.8">
      <c r="A23" s="138">
        <v>14</v>
      </c>
      <c r="B23" s="139" t="s">
        <v>267</v>
      </c>
      <c r="C23" s="140" t="s">
        <v>268</v>
      </c>
      <c r="D23" s="151" t="s">
        <v>269</v>
      </c>
      <c r="E23" s="142"/>
      <c r="F23" s="150" t="s">
        <v>189</v>
      </c>
      <c r="G23" s="144">
        <v>11.8</v>
      </c>
      <c r="H23" s="145" t="str">
        <f>IF(DATEDIF(D23,DATE($X$4,$W$4,$V$4),"m")&lt;=60,LOOKUP(2,1/(G23&gt;=INDEX(IF(E23="x",CNTT!$B$4:$E$64,CNTT!$F$4:$I$64),MATCH(DATEDIF(D23,DATE($X$4,$W$4,$V$4),"m"),CNTT!$A$4:$A$64,0),0)),CNTT!$B$3:$E$3),LOOKUP(2,1/(G23&gt;=INDEX(IF(E23="x",CNTT!$B$70:$E$93,CNTT!$F$70:$I$93),MATCH(DATEDIF(D23,DATE($X$4,$W$4,$V$4),"m"),CNTT!$A$70:$A$93,0),0)),CNTT!$B$69:$E$69))</f>
        <v>bt</v>
      </c>
      <c r="I23" s="145">
        <v>89</v>
      </c>
      <c r="J23" s="146" t="str">
        <f>IF(DATEDIF(D23,DATE($X$4,$W$4,$V$4),"m")&lt;=60,LOOKUP(2,1/(I23&gt;=INDEX(IF(E23="x",CCTT!$B$4:$E$64,CCTT!$F$4:$I$64),MATCH(DATEDIF(D23,DATE($X$4,$W$4,$V$4),"m"),CCTT!$A$4:$A$64,0),0)),CCTT!$B$3:$E$3),LOOKUP(2,1/(I23&gt;=INDEX(IF(E23="x",CCTT!$B$70:$E$93,CCTT!$F$70:$I$93),MATCH(DATEDIF(D23,DATE($X$4,$W$4,$V$4),"m"),CCTT!$A$70:$A$93,0),0)),CCTT!B$69:E$69))</f>
        <v>bt</v>
      </c>
      <c r="K23" s="146" t="str">
        <f>IF(DATEDIF(D23,DATE($X$4,$W$4,$V$4),"m")&lt;24,LOOKUP(2,1/(G23&gt;=INDEX(IF(E23="x",CNTCC!$B$4:$F$134,CNTCC!$F$4),MATCH(I23,CNTCC!$A$4:$A$134,0),0)),CNTCC!$B$3:$F$3),IF(AND(DATEDIF(D23,DATE($X$4,$W$4,$V$4),"m")&gt;=24,DATEDIF(D23,DATE($X$4,$W$4,$V$4),"m")&lt;=60),LOOKUP(2,1/(G23&gt;=INDEX(IF(E23="x",CNTCC!$B$141:$F$251,CNTCC!$G$141:$K$251),MATCH(I23,CNTCC!$A$141:$A$251,0),0)),CNTCC!$B$140:$F$140),0))</f>
        <v>bt</v>
      </c>
      <c r="L23" s="145" t="s">
        <v>22</v>
      </c>
      <c r="M23" s="145" t="s">
        <v>22</v>
      </c>
      <c r="N23" s="145" t="s">
        <v>22</v>
      </c>
      <c r="O23" s="145" t="s">
        <v>22</v>
      </c>
      <c r="P23" s="145" t="s">
        <v>22</v>
      </c>
      <c r="Q23" s="145" t="s">
        <v>22</v>
      </c>
      <c r="R23" s="147" t="s">
        <v>23</v>
      </c>
      <c r="S23" s="148" t="str">
        <f t="shared" si="0"/>
        <v xml:space="preserve">Nguyễn Tâm </v>
      </c>
      <c r="T23" s="148">
        <f t="shared" si="1"/>
        <v>28</v>
      </c>
      <c r="U23" s="148">
        <f t="shared" si="2"/>
        <v>14.89710895089004</v>
      </c>
    </row>
    <row r="24" spans="1:21" ht="16.8">
      <c r="A24" s="68"/>
      <c r="B24" s="74"/>
      <c r="C24" s="69"/>
      <c r="D24" s="75"/>
      <c r="E24" s="70"/>
      <c r="F24" s="70"/>
      <c r="G24" s="70"/>
      <c r="H24" s="71"/>
      <c r="I24" s="70"/>
      <c r="J24" s="94"/>
      <c r="K24" s="94"/>
      <c r="L24" s="71"/>
      <c r="M24" s="76"/>
      <c r="N24" s="71"/>
      <c r="O24" s="71"/>
      <c r="P24" s="71"/>
      <c r="Q24" s="71"/>
      <c r="R24" s="73"/>
    </row>
    <row r="25" spans="1:21" s="3" customFormat="1">
      <c r="A25" s="93"/>
      <c r="C25" s="13"/>
      <c r="D25" s="13" t="s">
        <v>24</v>
      </c>
      <c r="E25" s="13"/>
      <c r="F25" s="13"/>
      <c r="G25" s="14"/>
      <c r="H25" s="14"/>
      <c r="I25" s="14"/>
      <c r="J25" s="14"/>
      <c r="K25" s="14"/>
      <c r="L25" s="15"/>
      <c r="M25" s="15"/>
      <c r="N25" s="15"/>
      <c r="O25" s="15"/>
      <c r="P25" s="15"/>
      <c r="Q25" s="15"/>
      <c r="R25" s="14"/>
    </row>
    <row r="26" spans="1:21" s="3" customFormat="1">
      <c r="B26" s="15"/>
      <c r="C26" s="15"/>
      <c r="D26" s="15"/>
      <c r="E26" s="15"/>
      <c r="F26" s="15"/>
      <c r="G26" s="14"/>
      <c r="H26" s="14"/>
      <c r="I26" s="14"/>
      <c r="J26" s="14"/>
      <c r="K26" s="14"/>
      <c r="L26" s="15"/>
      <c r="M26" s="15"/>
      <c r="N26" s="15"/>
      <c r="O26" s="15"/>
      <c r="P26" s="15"/>
      <c r="Q26" s="15"/>
      <c r="R26" s="14"/>
    </row>
    <row r="27" spans="1:21" s="3" customFormat="1">
      <c r="A27" s="16" t="s">
        <v>25</v>
      </c>
      <c r="C27" s="15" t="s">
        <v>26</v>
      </c>
      <c r="D27" s="15"/>
      <c r="E27" s="15"/>
      <c r="F27" s="15"/>
      <c r="G27" s="14"/>
      <c r="H27" s="14"/>
      <c r="I27" s="16" t="s">
        <v>27</v>
      </c>
      <c r="J27" s="15"/>
      <c r="K27" s="15"/>
      <c r="L27" s="15" t="s">
        <v>28</v>
      </c>
      <c r="M27" s="15"/>
      <c r="N27" s="15"/>
      <c r="O27" s="15"/>
      <c r="P27" s="15"/>
      <c r="Q27" s="15"/>
      <c r="R27" s="14"/>
    </row>
    <row r="28" spans="1:21" s="3" customFormat="1">
      <c r="A28" s="16" t="s">
        <v>29</v>
      </c>
      <c r="C28" s="15" t="s">
        <v>30</v>
      </c>
      <c r="D28" s="15"/>
      <c r="E28" s="15"/>
      <c r="F28" s="15"/>
      <c r="G28" s="14"/>
      <c r="H28" s="14"/>
      <c r="I28" s="16" t="s">
        <v>31</v>
      </c>
      <c r="J28" s="15"/>
      <c r="K28" s="15"/>
      <c r="L28" s="15" t="s">
        <v>32</v>
      </c>
      <c r="M28" s="15"/>
      <c r="N28" s="15"/>
      <c r="O28" s="15"/>
      <c r="P28" s="15"/>
      <c r="Q28" s="15"/>
      <c r="R28" s="14"/>
    </row>
    <row r="29" spans="1:21" s="3" customFormat="1">
      <c r="A29" s="16" t="s">
        <v>33</v>
      </c>
      <c r="C29" s="15" t="s">
        <v>34</v>
      </c>
      <c r="D29" s="15"/>
      <c r="E29" s="15"/>
      <c r="F29" s="15"/>
      <c r="G29" s="14"/>
      <c r="H29" s="14"/>
      <c r="I29" s="16" t="s">
        <v>35</v>
      </c>
      <c r="J29" s="15"/>
      <c r="K29" s="15"/>
      <c r="L29" s="15" t="s">
        <v>36</v>
      </c>
      <c r="M29" s="15"/>
      <c r="N29" s="15"/>
      <c r="O29" s="15"/>
      <c r="P29" s="15"/>
      <c r="Q29" s="15"/>
      <c r="R29" s="14"/>
    </row>
    <row r="30" spans="1:21" s="3" customFormat="1">
      <c r="A30" s="16" t="s">
        <v>37</v>
      </c>
      <c r="C30" s="15" t="s">
        <v>38</v>
      </c>
      <c r="D30" s="15"/>
      <c r="E30" s="15"/>
      <c r="F30" s="15"/>
      <c r="G30" s="14"/>
      <c r="H30" s="14"/>
      <c r="I30" s="16" t="s">
        <v>39</v>
      </c>
      <c r="J30" s="15"/>
      <c r="K30" s="15"/>
      <c r="L30" s="15" t="s">
        <v>40</v>
      </c>
      <c r="M30" s="15"/>
      <c r="N30" s="15"/>
      <c r="O30" s="15"/>
      <c r="P30" s="15"/>
      <c r="Q30" s="15"/>
      <c r="R30" s="14"/>
    </row>
    <row r="31" spans="1:21">
      <c r="A31" s="16" t="s">
        <v>41</v>
      </c>
      <c r="C31" s="15" t="s">
        <v>42</v>
      </c>
      <c r="D31" s="15"/>
      <c r="E31" s="15"/>
      <c r="F31" s="15"/>
      <c r="G31" s="14"/>
      <c r="H31" s="14"/>
      <c r="I31" s="16" t="s">
        <v>43</v>
      </c>
      <c r="J31" s="15"/>
      <c r="K31" s="15"/>
      <c r="L31" s="15" t="s">
        <v>44</v>
      </c>
      <c r="M31" s="15"/>
      <c r="N31" s="15"/>
      <c r="O31" s="15"/>
      <c r="P31" s="15"/>
      <c r="Q31" s="15"/>
      <c r="R31" s="14"/>
    </row>
    <row r="32" spans="1:21">
      <c r="A32" s="4" t="s">
        <v>45</v>
      </c>
      <c r="C32" s="3" t="s">
        <v>46</v>
      </c>
      <c r="I32" s="5" t="s">
        <v>47</v>
      </c>
      <c r="L32" s="4" t="s">
        <v>48</v>
      </c>
    </row>
    <row r="33" spans="1:12">
      <c r="A33" s="4" t="s">
        <v>49</v>
      </c>
      <c r="C33" s="3" t="s">
        <v>50</v>
      </c>
      <c r="I33" s="5" t="s">
        <v>51</v>
      </c>
      <c r="L33" s="4" t="s">
        <v>52</v>
      </c>
    </row>
    <row r="34" spans="1:12">
      <c r="A34" s="4" t="s">
        <v>53</v>
      </c>
      <c r="C34" s="3" t="s">
        <v>54</v>
      </c>
      <c r="I34" s="5" t="s">
        <v>55</v>
      </c>
      <c r="L34" s="4" t="s">
        <v>56</v>
      </c>
    </row>
  </sheetData>
  <autoFilter ref="A9:WWA23"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733B-505E-4A16-A18E-7F73A9A691AA}">
  <sheetPr>
    <tabColor rgb="FF92D050"/>
  </sheetPr>
  <dimension ref="A1:AK36"/>
  <sheetViews>
    <sheetView zoomScale="66" zoomScaleNormal="66" zoomScaleSheetLayoutView="100" workbookViewId="0">
      <pane ySplit="9" topLeftCell="A10" activePane="bottomLeft" state="frozen"/>
      <selection activeCell="T34" sqref="T34"/>
      <selection pane="bottomLeft" activeCell="E19" activeCellId="1" sqref="B19:C25 E19:F25"/>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248</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16.8">
      <c r="A10" s="138">
        <v>1</v>
      </c>
      <c r="B10" s="139" t="s">
        <v>227</v>
      </c>
      <c r="C10" s="140" t="s">
        <v>158</v>
      </c>
      <c r="D10" s="141">
        <v>45447</v>
      </c>
      <c r="E10" s="142"/>
      <c r="F10" s="143" t="s">
        <v>189</v>
      </c>
      <c r="G10" s="144">
        <v>11.8</v>
      </c>
      <c r="H10" s="145" t="str">
        <f>IF(DATEDIF(D10,DATE($X$4,$W$4,$V$4),"m")&lt;=60,LOOKUP(2,1/(G10&gt;=INDEX(IF(E10="x",CNTT!$B$4:$E$64,CNTT!$F$4:$I$64),MATCH(DATEDIF(D10,DATE($X$4,$W$4,$V$4),"m"),CNTT!$A$4:$A$64,0),0)),CNTT!$B$3:$E$3),LOOKUP(2,1/(G10&gt;=INDEX(IF(E10="x",CNTT!$B$70:$E$93,CNTT!$F$70:$I$93),MATCH(DATEDIF(D10,DATE($X$4,$W$4,$V$4),"m"),CNTT!$A$70:$A$93,0),0)),CNTT!$B$69:$E$69))</f>
        <v>bt</v>
      </c>
      <c r="I10" s="145">
        <v>86</v>
      </c>
      <c r="J10" s="146" t="str">
        <f>IF(DATEDIF(D10,DATE($X$4,$W$4,$V$4),"m")&lt;=60,LOOKUP(2,1/(I10&gt;=INDEX(IF(E10="x",CCTT!$B$4:$E$64,CCTT!$F$4:$I$64),MATCH(DATEDIF(D10,DATE($X$4,$W$4,$V$4),"m"),CCTT!$A$4:$A$64,0),0)),CCTT!$B$3:$E$3),LOOKUP(2,1/(I10&gt;=INDEX(IF(E10="x",CCTT!$B$70:$E$93,CCTT!$F$70:$I$93),MATCH(DATEDIF(D10,DATE($X$4,$W$4,$V$4),"m"),CCTT!$A$70:$A$93,0),0)),CCTT!B$69:E$69))</f>
        <v>bt</v>
      </c>
      <c r="K10" s="146" t="str">
        <f>IF(DATEDIF(D10,DATE($X$4,$W$4,$V$4),"m")&lt;24,LOOKUP(2,1/(G10&gt;=INDEX(IF(E10="x",CNTCC!$B$4:$F$134,CNTCC!$F$4),MATCH(I10,CNTCC!$A$4:$A$134,0),0)),CNTCC!$B$3:$F$3),IF(AND(DATEDIF(D10,DATE($X$4,$W$4,$V$4),"m")&gt;=24,DATEDIF(D10,DATE($X$4,$W$4,$V$4),"m")&lt;=60),LOOKUP(2,1/(G10&gt;=INDEX(IF(E10="x",CNTCC!$B$141:$F$251,CNTCC!$G$141:$K$251),MATCH(I10,CNTCC!$A$141:$A$251,0),0)),CNTCC!$B$140:$F$140),0))</f>
        <v>bt</v>
      </c>
      <c r="L10" s="145" t="s">
        <v>22</v>
      </c>
      <c r="M10" s="145" t="s">
        <v>22</v>
      </c>
      <c r="N10" s="145" t="s">
        <v>22</v>
      </c>
      <c r="O10" s="145" t="s">
        <v>22</v>
      </c>
      <c r="P10" s="145" t="s">
        <v>22</v>
      </c>
      <c r="Q10" s="145" t="s">
        <v>22</v>
      </c>
      <c r="R10" s="147" t="s">
        <v>23</v>
      </c>
      <c r="S10" s="148" t="str">
        <f>PROPER(B10)</f>
        <v xml:space="preserve"> Nguyễn Quỳnh</v>
      </c>
      <c r="T10" s="148">
        <f>DATEDIF(D10,DATE($X$4,$W$4,$V$4),"m")</f>
        <v>26</v>
      </c>
      <c r="U10" s="148">
        <f>G10/(I10/100)^2</f>
        <v>15.954570037858304</v>
      </c>
      <c r="W10" s="145"/>
      <c r="Y10" s="146">
        <f>COUNTIF(H10:H25,Y9)</f>
        <v>14</v>
      </c>
      <c r="Z10" s="146">
        <f>COUNTIF(H10:H25,Z9)</f>
        <v>0</v>
      </c>
      <c r="AA10" s="146">
        <f>COUNTIF(H10:H25,AA9)</f>
        <v>2</v>
      </c>
      <c r="AB10" s="146">
        <f>COUNTIF(J10:J25,AB9)</f>
        <v>16</v>
      </c>
      <c r="AC10" s="146">
        <f>COUNTIF(J10:J25,AC9)</f>
        <v>0</v>
      </c>
      <c r="AD10" s="146">
        <f>COUNTIF(J10:J25,AD9)</f>
        <v>0</v>
      </c>
      <c r="AE10" s="146">
        <f>COUNTIF(K10:K25,AE9)</f>
        <v>14</v>
      </c>
      <c r="AF10" s="146">
        <f>COUNTIF(K10:K25,AF9)</f>
        <v>2</v>
      </c>
      <c r="AG10" s="146">
        <f>COUNTIF(K10:K25,AG9)</f>
        <v>0</v>
      </c>
      <c r="AH10" s="146">
        <f>COUNTIF(K10:K25,AH9)</f>
        <v>0</v>
      </c>
      <c r="AI10" s="146">
        <f>COUNTIF(R10:R25,AI9)</f>
        <v>11</v>
      </c>
      <c r="AJ10" s="146">
        <f>COUNTIF(R10:R25,AJ9)</f>
        <v>5</v>
      </c>
      <c r="AK10" s="146">
        <f>COUNTIF(R10:R25,AK9)</f>
        <v>0</v>
      </c>
    </row>
    <row r="11" spans="1:37" s="148" customFormat="1" ht="16.8">
      <c r="A11" s="138">
        <v>2</v>
      </c>
      <c r="B11" s="139" t="s">
        <v>228</v>
      </c>
      <c r="C11" s="149" t="s">
        <v>158</v>
      </c>
      <c r="D11" s="141">
        <v>45518</v>
      </c>
      <c r="E11" s="142"/>
      <c r="F11" s="150" t="s">
        <v>189</v>
      </c>
      <c r="G11" s="144">
        <v>11.8</v>
      </c>
      <c r="H11" s="145" t="str">
        <f>IF(DATEDIF(D11,DATE($X$4,$W$4,$V$4),"m")&lt;=60,LOOKUP(2,1/(G11&gt;=INDEX(IF(E11="x",CNTT!$B$4:$E$64,CNTT!$F$4:$I$64),MATCH(DATEDIF(D11,DATE($X$4,$W$4,$V$4),"m"),CNTT!$A$4:$A$64,0),0)),CNTT!$B$3:$E$3),LOOKUP(2,1/(G11&gt;=INDEX(IF(E11="x",CNTT!$B$70:$E$93,CNTT!$F$70:$I$93),MATCH(DATEDIF(D11,DATE($X$4,$W$4,$V$4),"m"),CNTT!$A$70:$A$93,0),0)),CNTT!$B$69:$E$69))</f>
        <v>bt</v>
      </c>
      <c r="I11" s="145">
        <v>84</v>
      </c>
      <c r="J11" s="146" t="str">
        <f>IF(DATEDIF(D11,DATE($X$4,$W$4,$V$4),"m")&lt;=60,LOOKUP(2,1/(I11&gt;=INDEX(IF(E11="x",CCTT!$B$4:$E$64,CCTT!$F$4:$I$64),MATCH(DATEDIF(D11,DATE($X$4,$W$4,$V$4),"m"),CCTT!$A$4:$A$64,0),0)),CCTT!$B$3:$E$3),LOOKUP(2,1/(I11&gt;=INDEX(IF(E11="x",CCTT!$B$70:$E$93,CCTT!$F$70:$I$93),MATCH(DATEDIF(D11,DATE($X$4,$W$4,$V$4),"m"),CCTT!$A$70:$A$93,0),0)),CCTT!B$69:E$69))</f>
        <v>bt</v>
      </c>
      <c r="K11" s="146" t="str">
        <f>IF(DATEDIF(D11,DATE($X$4,$W$4,$V$4),"m")&lt;24,LOOKUP(2,1/(G11&gt;=INDEX(IF(E11="x",CNTCC!$B$4:$F$134,CNTCC!$F$4),MATCH(I11,CNTCC!$A$4:$A$134,0),0)),CNTCC!$B$3:$F$3),IF(AND(DATEDIF(D11,DATE($X$4,$W$4,$V$4),"m")&gt;=24,DATEDIF(D11,DATE($X$4,$W$4,$V$4),"m")&lt;=60),LOOKUP(2,1/(G11&gt;=INDEX(IF(E11="x",CNTCC!$B$141:$F$251,CNTCC!$G$141:$K$251),MATCH(I11,CNTCC!$A$141:$A$251,0),0)),CNTCC!$B$140:$F$140),0))</f>
        <v>bt</v>
      </c>
      <c r="L11" s="145" t="s">
        <v>22</v>
      </c>
      <c r="M11" s="145" t="s">
        <v>22</v>
      </c>
      <c r="N11" s="145" t="s">
        <v>22</v>
      </c>
      <c r="O11" s="145" t="s">
        <v>22</v>
      </c>
      <c r="P11" s="145" t="s">
        <v>22</v>
      </c>
      <c r="Q11" s="145" t="s">
        <v>22</v>
      </c>
      <c r="R11" s="147" t="s">
        <v>23</v>
      </c>
      <c r="S11" s="148" t="str">
        <f t="shared" ref="S11:S25" si="0">PROPER(B11)</f>
        <v>Sử Duy Huyền</v>
      </c>
      <c r="T11" s="148">
        <f t="shared" ref="T11:T25" si="1">DATEDIF(D11,DATE($X$4,$W$4,$V$4),"m")</f>
        <v>24</v>
      </c>
      <c r="U11" s="148">
        <f t="shared" ref="U11:U25" si="2">G11/(I11/100)^2</f>
        <v>16.723356009070297</v>
      </c>
      <c r="Y11" s="148">
        <f>SUM(Y10:AA10)</f>
        <v>16</v>
      </c>
    </row>
    <row r="12" spans="1:37" s="148" customFormat="1" ht="16.8">
      <c r="A12" s="138">
        <v>3</v>
      </c>
      <c r="B12" s="139" t="s">
        <v>229</v>
      </c>
      <c r="C12" s="149" t="s">
        <v>158</v>
      </c>
      <c r="D12" s="151">
        <v>45474</v>
      </c>
      <c r="E12" s="142" t="s">
        <v>189</v>
      </c>
      <c r="F12" s="143"/>
      <c r="G12" s="144">
        <v>14</v>
      </c>
      <c r="H12" s="145" t="str">
        <f>IF(DATEDIF(D12,DATE($X$4,$W$4,$V$4),"m")&lt;=60,LOOKUP(2,1/(G12&gt;=INDEX(IF(E12="x",CNTT!$B$4:$E$64,CNTT!$F$4:$I$64),MATCH(DATEDIF(D12,DATE($X$4,$W$4,$V$4),"m"),CNTT!$A$4:$A$64,0),0)),CNTT!$B$3:$E$3),LOOKUP(2,1/(G12&gt;=INDEX(IF(E12="x",CNTT!$B$70:$E$93,CNTT!$F$70:$I$93),MATCH(DATEDIF(D12,DATE($X$4,$W$4,$V$4),"m"),CNTT!$A$70:$A$93,0),0)),CNTT!$B$69:$E$69))</f>
        <v>bt</v>
      </c>
      <c r="I12" s="145">
        <v>88</v>
      </c>
      <c r="J12" s="146" t="str">
        <f>IF(DATEDIF(D12,DATE($X$4,$W$4,$V$4),"m")&lt;=60,LOOKUP(2,1/(I12&gt;=INDEX(IF(E12="x",CCTT!$B$4:$E$64,CCTT!$F$4:$I$64),MATCH(DATEDIF(D12,DATE($X$4,$W$4,$V$4),"m"),CCTT!$A$4:$A$64,0),0)),CCTT!$B$3:$E$3),LOOKUP(2,1/(I12&gt;=INDEX(IF(E12="x",CCTT!$B$70:$E$93,CCTT!$F$70:$I$93),MATCH(DATEDIF(D12,DATE($X$4,$W$4,$V$4),"m"),CCTT!$A$70:$A$93,0),0)),CCTT!B$69:E$69))</f>
        <v>bt</v>
      </c>
      <c r="K12" s="146" t="str">
        <f>IF(DATEDIF(D12,DATE($X$4,$W$4,$V$4),"m")&lt;24,LOOKUP(2,1/(G12&gt;=INDEX(IF(E12="x",CNTCC!$B$4:$F$134,CNTCC!$F$4),MATCH(I12,CNTCC!$A$4:$A$134,0),0)),CNTCC!$B$3:$F$3),IF(AND(DATEDIF(D12,DATE($X$4,$W$4,$V$4),"m")&gt;=24,DATEDIF(D12,DATE($X$4,$W$4,$V$4),"m")&lt;=60),LOOKUP(2,1/(G12&gt;=INDEX(IF(E12="x",CNTCC!$B$141:$F$251,CNTCC!$G$141:$K$251),MATCH(I12,CNTCC!$A$141:$A$251,0),0)),CNTCC!$B$140:$F$140),0))</f>
        <v>bt</v>
      </c>
      <c r="L12" s="145" t="s">
        <v>22</v>
      </c>
      <c r="M12" s="155" t="s">
        <v>51</v>
      </c>
      <c r="N12" s="145" t="s">
        <v>22</v>
      </c>
      <c r="O12" s="145" t="s">
        <v>22</v>
      </c>
      <c r="P12" s="145" t="s">
        <v>22</v>
      </c>
      <c r="Q12" s="145" t="s">
        <v>22</v>
      </c>
      <c r="R12" s="147" t="s">
        <v>57</v>
      </c>
      <c r="S12" s="148" t="str">
        <f t="shared" si="0"/>
        <v>Lê Quốc Nhật</v>
      </c>
      <c r="T12" s="148">
        <f t="shared" si="1"/>
        <v>25</v>
      </c>
      <c r="U12" s="148">
        <f t="shared" si="2"/>
        <v>18.078512396694215</v>
      </c>
      <c r="Y12" s="148">
        <f>SUM(AB10:AD10)</f>
        <v>16</v>
      </c>
    </row>
    <row r="13" spans="1:37" s="148" customFormat="1" ht="18" customHeight="1">
      <c r="A13" s="138">
        <v>4</v>
      </c>
      <c r="B13" s="139" t="s">
        <v>230</v>
      </c>
      <c r="C13" s="149" t="s">
        <v>231</v>
      </c>
      <c r="D13" s="151">
        <v>45455</v>
      </c>
      <c r="E13" s="142" t="s">
        <v>189</v>
      </c>
      <c r="F13" s="143"/>
      <c r="G13" s="144">
        <v>15.1</v>
      </c>
      <c r="H13" s="145" t="str">
        <f>IF(DATEDIF(D13,DATE($X$4,$W$4,$V$4),"m")&lt;=60,LOOKUP(2,1/(G13&gt;=INDEX(IF(E13="x",CNTT!$B$4:$E$64,CNTT!$F$4:$I$64),MATCH(DATEDIF(D13,DATE($X$4,$W$4,$V$4),"m"),CNTT!$A$4:$A$64,0),0)),CNTT!$B$3:$E$3),LOOKUP(2,1/(G13&gt;=INDEX(IF(E13="x",CNTT!$B$70:$E$93,CNTT!$F$70:$I$93),MATCH(DATEDIF(D13,DATE($X$4,$W$4,$V$4),"m"),CNTT!$A$70:$A$93,0),0)),CNTT!$B$69:$E$69))</f>
        <v>bt</v>
      </c>
      <c r="I13" s="145">
        <v>89</v>
      </c>
      <c r="J13" s="146" t="str">
        <f>IF(DATEDIF(D13,DATE($X$4,$W$4,$V$4),"m")&lt;=60,LOOKUP(2,1/(I13&gt;=INDEX(IF(E13="x",CCTT!$B$4:$E$64,CCTT!$F$4:$I$64),MATCH(DATEDIF(D13,DATE($X$4,$W$4,$V$4),"m"),CCTT!$A$4:$A$64,0),0)),CCTT!$B$3:$E$3),LOOKUP(2,1/(I13&gt;=INDEX(IF(E13="x",CCTT!$B$70:$E$93,CCTT!$F$70:$I$93),MATCH(DATEDIF(D13,DATE($X$4,$W$4,$V$4),"m"),CCTT!$A$70:$A$93,0),0)),CCTT!B$69:E$69))</f>
        <v>bt</v>
      </c>
      <c r="K13" s="146" t="s">
        <v>25</v>
      </c>
      <c r="L13" s="145" t="s">
        <v>22</v>
      </c>
      <c r="M13" s="145" t="s">
        <v>22</v>
      </c>
      <c r="N13" s="145" t="s">
        <v>22</v>
      </c>
      <c r="O13" s="145" t="s">
        <v>22</v>
      </c>
      <c r="P13" s="145" t="s">
        <v>22</v>
      </c>
      <c r="Q13" s="145" t="s">
        <v>22</v>
      </c>
      <c r="R13" s="147" t="s">
        <v>23</v>
      </c>
      <c r="S13" s="148" t="str">
        <f t="shared" si="0"/>
        <v>Trần Gia</v>
      </c>
      <c r="T13" s="148">
        <f t="shared" si="1"/>
        <v>26</v>
      </c>
      <c r="U13" s="148">
        <f t="shared" si="2"/>
        <v>19.06324958969827</v>
      </c>
      <c r="Y13" s="148">
        <f>SUM(AE10:AH10)</f>
        <v>16</v>
      </c>
    </row>
    <row r="14" spans="1:37" s="148" customFormat="1" ht="16.8">
      <c r="A14" s="138">
        <v>5</v>
      </c>
      <c r="B14" s="139" t="s">
        <v>232</v>
      </c>
      <c r="C14" s="149" t="s">
        <v>173</v>
      </c>
      <c r="D14" s="151">
        <v>45589</v>
      </c>
      <c r="E14" s="142"/>
      <c r="F14" s="150" t="s">
        <v>189</v>
      </c>
      <c r="G14" s="144">
        <v>11.7</v>
      </c>
      <c r="H14" s="145" t="str">
        <f>IF(DATEDIF(D14,DATE($X$4,$W$4,$V$4),"m")&lt;=60,LOOKUP(2,1/(G14&gt;=INDEX(IF(E14="x",CNTT!$B$4:$E$64,CNTT!$F$4:$I$64),MATCH(DATEDIF(D14,DATE($X$4,$W$4,$V$4),"m"),CNTT!$A$4:$A$64,0),0)),CNTT!$B$3:$E$3),LOOKUP(2,1/(G14&gt;=INDEX(IF(E14="x",CNTT!$B$70:$E$93,CNTT!$F$70:$I$93),MATCH(DATEDIF(D14,DATE($X$4,$W$4,$V$4),"m"),CNTT!$A$70:$A$93,0),0)),CNTT!$B$69:$E$69))</f>
        <v>bt</v>
      </c>
      <c r="I14" s="145">
        <v>88</v>
      </c>
      <c r="J14" s="146" t="str">
        <f>IF(DATEDIF(D14,DATE($X$4,$W$4,$V$4),"m")&lt;=60,LOOKUP(2,1/(I14&gt;=INDEX(IF(E14="x",CCTT!$B$4:$E$64,CCTT!$F$4:$I$64),MATCH(DATEDIF(D14,DATE($X$4,$W$4,$V$4),"m"),CCTT!$A$4:$A$64,0),0)),CCTT!$B$3:$E$3),LOOKUP(2,1/(I14&gt;=INDEX(IF(E14="x",CCTT!$B$70:$E$93,CCTT!$F$70:$I$93),MATCH(DATEDIF(D14,DATE($X$4,$W$4,$V$4),"m"),CCTT!$A$70:$A$93,0),0)),CCTT!B$69:E$69))</f>
        <v>bt</v>
      </c>
      <c r="K14" s="146" t="s">
        <v>25</v>
      </c>
      <c r="L14" s="145" t="s">
        <v>22</v>
      </c>
      <c r="M14" s="145" t="s">
        <v>22</v>
      </c>
      <c r="N14" s="145" t="s">
        <v>22</v>
      </c>
      <c r="O14" s="145" t="s">
        <v>22</v>
      </c>
      <c r="P14" s="145" t="s">
        <v>22</v>
      </c>
      <c r="Q14" s="145" t="s">
        <v>22</v>
      </c>
      <c r="R14" s="147" t="s">
        <v>23</v>
      </c>
      <c r="S14" s="148" t="str">
        <f t="shared" si="0"/>
        <v>Võ Khanh</v>
      </c>
      <c r="T14" s="148">
        <f t="shared" si="1"/>
        <v>22</v>
      </c>
      <c r="U14" s="148">
        <f t="shared" si="2"/>
        <v>15.108471074380164</v>
      </c>
      <c r="Y14" s="148">
        <f>SUM(AI10:AK10)</f>
        <v>16</v>
      </c>
    </row>
    <row r="15" spans="1:37" s="148" customFormat="1" ht="16.8">
      <c r="A15" s="138">
        <v>6</v>
      </c>
      <c r="B15" s="139" t="s">
        <v>233</v>
      </c>
      <c r="C15" s="149" t="s">
        <v>177</v>
      </c>
      <c r="D15" s="151">
        <v>45500</v>
      </c>
      <c r="E15" s="142"/>
      <c r="F15" s="143" t="s">
        <v>189</v>
      </c>
      <c r="G15" s="144">
        <v>12.2</v>
      </c>
      <c r="H15" s="145" t="str">
        <f>IF(DATEDIF(D15,DATE($X$4,$W$4,$V$4),"m")&lt;=60,LOOKUP(2,1/(G15&gt;=INDEX(IF(E15="x",CNTT!$B$4:$E$64,CNTT!$F$4:$I$64),MATCH(DATEDIF(D15,DATE($X$4,$W$4,$V$4),"m"),CNTT!$A$4:$A$64,0),0)),CNTT!$B$3:$E$3),LOOKUP(2,1/(G15&gt;=INDEX(IF(E15="x",CNTT!$B$70:$E$93,CNTT!$F$70:$I$93),MATCH(DATEDIF(D15,DATE($X$4,$W$4,$V$4),"m"),CNTT!$A$70:$A$93,0),0)),CNTT!$B$69:$E$69))</f>
        <v>bt</v>
      </c>
      <c r="I15" s="145">
        <v>87</v>
      </c>
      <c r="J15" s="146" t="str">
        <f>IF(DATEDIF(D15,DATE($X$4,$W$4,$V$4),"m")&lt;=60,LOOKUP(2,1/(I15&gt;=INDEX(IF(E15="x",CCTT!$B$4:$E$64,CCTT!$F$4:$I$64),MATCH(DATEDIF(D15,DATE($X$4,$W$4,$V$4),"m"),CCTT!$A$4:$A$64,0),0)),CCTT!$B$3:$E$3),LOOKUP(2,1/(I15&gt;=INDEX(IF(E15="x",CCTT!$B$70:$E$93,CCTT!$F$70:$I$93),MATCH(DATEDIF(D15,DATE($X$4,$W$4,$V$4),"m"),CCTT!$A$70:$A$93,0),0)),CCTT!B$69:E$69))</f>
        <v>bt</v>
      </c>
      <c r="K15" s="146" t="str">
        <f>IF(DATEDIF(D15,DATE($X$4,$W$4,$V$4),"m")&lt;24,LOOKUP(2,1/(G15&gt;=INDEX(IF(E15="x",CNTCC!$B$4:$F$134,CNTCC!$F$4),MATCH(I15,CNTCC!$A$4:$A$134,0),0)),CNTCC!$B$3:$F$3),IF(AND(DATEDIF(D15,DATE($X$4,$W$4,$V$4),"m")&gt;=24,DATEDIF(D15,DATE($X$4,$W$4,$V$4),"m")&lt;=60),LOOKUP(2,1/(G15&gt;=INDEX(IF(E15="x",CNTCC!$B$141:$F$251,CNTCC!$G$141:$K$251),MATCH(I15,CNTCC!$A$141:$A$251,0),0)),CNTCC!$B$140:$F$140),0))</f>
        <v>bt</v>
      </c>
      <c r="L15" s="145" t="s">
        <v>22</v>
      </c>
      <c r="M15" s="155" t="s">
        <v>51</v>
      </c>
      <c r="N15" s="145" t="s">
        <v>22</v>
      </c>
      <c r="O15" s="145" t="s">
        <v>22</v>
      </c>
      <c r="P15" s="145" t="s">
        <v>22</v>
      </c>
      <c r="Q15" s="145" t="s">
        <v>22</v>
      </c>
      <c r="R15" s="147" t="s">
        <v>57</v>
      </c>
      <c r="S15" s="148" t="str">
        <f t="shared" si="0"/>
        <v>Nguyễn Đỗ Quỳnh</v>
      </c>
      <c r="T15" s="148">
        <f t="shared" si="1"/>
        <v>25</v>
      </c>
      <c r="U15" s="148">
        <f t="shared" si="2"/>
        <v>16.118377592812788</v>
      </c>
    </row>
    <row r="16" spans="1:37" s="148" customFormat="1" ht="16.8">
      <c r="A16" s="138">
        <v>7</v>
      </c>
      <c r="B16" s="139" t="s">
        <v>234</v>
      </c>
      <c r="C16" s="149" t="s">
        <v>155</v>
      </c>
      <c r="D16" s="151">
        <v>45438</v>
      </c>
      <c r="E16" s="142" t="s">
        <v>189</v>
      </c>
      <c r="F16" s="143"/>
      <c r="G16" s="144">
        <v>11.7</v>
      </c>
      <c r="H16" s="145" t="str">
        <f>IF(DATEDIF(D16,DATE($X$4,$W$4,$V$4),"m")&lt;=60,LOOKUP(2,1/(G16&gt;=INDEX(IF(E16="x",CNTT!$B$4:$E$64,CNTT!$F$4:$I$64),MATCH(DATEDIF(D16,DATE($X$4,$W$4,$V$4),"m"),CNTT!$A$4:$A$64,0),0)),CNTT!$B$3:$E$3),LOOKUP(2,1/(G16&gt;=INDEX(IF(E16="x",CNTT!$B$70:$E$93,CNTT!$F$70:$I$93),MATCH(DATEDIF(D16,DATE($X$4,$W$4,$V$4),"m"),CNTT!$A$70:$A$93,0),0)),CNTT!$B$69:$E$69))</f>
        <v>bt</v>
      </c>
      <c r="I16" s="145">
        <v>90</v>
      </c>
      <c r="J16" s="146" t="str">
        <f>IF(DATEDIF(D16,DATE($X$4,$W$4,$V$4),"m")&lt;=60,LOOKUP(2,1/(I16&gt;=INDEX(IF(E16="x",CCTT!$B$4:$E$64,CCTT!$F$4:$I$64),MATCH(DATEDIF(D16,DATE($X$4,$W$4,$V$4),"m"),CCTT!$A$4:$A$64,0),0)),CCTT!$B$3:$E$3),LOOKUP(2,1/(I16&gt;=INDEX(IF(E16="x",CCTT!$B$70:$E$93,CCTT!$F$70:$I$93),MATCH(DATEDIF(D16,DATE($X$4,$W$4,$V$4),"m"),CCTT!$A$70:$A$93,0),0)),CCTT!B$69:E$69))</f>
        <v>bt</v>
      </c>
      <c r="K16" s="146" t="str">
        <f>IF(DATEDIF(D16,DATE($X$4,$W$4,$V$4),"m")&lt;24,LOOKUP(2,1/(G16&gt;=INDEX(IF(E16="x",CNTCC!$B$4:$F$134,CNTCC!$F$4),MATCH(I16,CNTCC!$A$4:$A$134,0),0)),CNTCC!$B$3:$F$3),IF(AND(DATEDIF(D16,DATE($X$4,$W$4,$V$4),"m")&gt;=24,DATEDIF(D16,DATE($X$4,$W$4,$V$4),"m")&lt;=60),LOOKUP(2,1/(G16&gt;=INDEX(IF(E16="x",CNTCC!$B$141:$F$251,CNTCC!$G$141:$K$251),MATCH(I16,CNTCC!$A$141:$A$251,0),0)),CNTCC!$B$140:$F$140),0))</f>
        <v>bt</v>
      </c>
      <c r="L16" s="145" t="s">
        <v>22</v>
      </c>
      <c r="M16" s="145" t="s">
        <v>22</v>
      </c>
      <c r="N16" s="145" t="s">
        <v>22</v>
      </c>
      <c r="O16" s="145" t="s">
        <v>22</v>
      </c>
      <c r="P16" s="145" t="s">
        <v>22</v>
      </c>
      <c r="Q16" s="145" t="s">
        <v>22</v>
      </c>
      <c r="R16" s="147" t="s">
        <v>23</v>
      </c>
      <c r="S16" s="148" t="str">
        <f t="shared" si="0"/>
        <v>Nguyễn Quang</v>
      </c>
      <c r="T16" s="148">
        <f t="shared" si="1"/>
        <v>27</v>
      </c>
      <c r="U16" s="148">
        <f t="shared" si="2"/>
        <v>14.444444444444443</v>
      </c>
    </row>
    <row r="17" spans="1:21" s="148" customFormat="1" ht="16.8">
      <c r="A17" s="138">
        <v>8</v>
      </c>
      <c r="B17" s="152" t="s">
        <v>235</v>
      </c>
      <c r="C17" s="153" t="s">
        <v>236</v>
      </c>
      <c r="D17" s="151">
        <v>45512</v>
      </c>
      <c r="E17" s="142" t="s">
        <v>189</v>
      </c>
      <c r="F17" s="150"/>
      <c r="G17" s="144">
        <v>11</v>
      </c>
      <c r="H17" s="145" t="str">
        <f>IF(DATEDIF(D17,DATE($X$4,$W$4,$V$4),"m")&lt;=60,LOOKUP(2,1/(G17&gt;=INDEX(IF(E17="x",CNTT!$B$4:$E$64,CNTT!$F$4:$I$64),MATCH(DATEDIF(D17,DATE($X$4,$W$4,$V$4),"m"),CNTT!$A$4:$A$64,0),0)),CNTT!$B$3:$E$3),LOOKUP(2,1/(G17&gt;=INDEX(IF(E17="x",CNTT!$B$70:$E$93,CNTT!$F$70:$I$93),MATCH(DATEDIF(D17,DATE($X$4,$W$4,$V$4),"m"),CNTT!$A$70:$A$93,0),0)),CNTT!$B$69:$E$69))</f>
        <v>bt</v>
      </c>
      <c r="I17" s="145">
        <v>82</v>
      </c>
      <c r="J17" s="146" t="str">
        <f>IF(DATEDIF(D17,DATE($X$4,$W$4,$V$4),"m")&lt;=60,LOOKUP(2,1/(I17&gt;=INDEX(IF(E17="x",CCTT!$B$4:$E$64,CCTT!$F$4:$I$64),MATCH(DATEDIF(D17,DATE($X$4,$W$4,$V$4),"m"),CCTT!$A$4:$A$64,0),0)),CCTT!$B$3:$E$3),LOOKUP(2,1/(I17&gt;=INDEX(IF(E17="x",CCTT!$B$70:$E$93,CCTT!$F$70:$I$93),MATCH(DATEDIF(D17,DATE($X$4,$W$4,$V$4),"m"),CCTT!$A$70:$A$93,0),0)),CCTT!B$69:E$69))</f>
        <v>bt</v>
      </c>
      <c r="K17" s="146" t="str">
        <f>IF(DATEDIF(D17,DATE($X$4,$W$4,$V$4),"m")&lt;24,LOOKUP(2,1/(G17&gt;=INDEX(IF(E17="x",CNTCC!$B$4:$F$134,CNTCC!$F$4),MATCH(I17,CNTCC!$A$4:$A$134,0),0)),CNTCC!$B$3:$F$3),IF(AND(DATEDIF(D17,DATE($X$4,$W$4,$V$4),"m")&gt;=24,DATEDIF(D17,DATE($X$4,$W$4,$V$4),"m")&lt;=60),LOOKUP(2,1/(G17&gt;=INDEX(IF(E17="x",CNTCC!$B$141:$F$251,CNTCC!$G$141:$K$251),MATCH(I17,CNTCC!$A$141:$A$251,0),0)),CNTCC!$B$140:$F$140),0))</f>
        <v>bt</v>
      </c>
      <c r="L17" s="145" t="s">
        <v>22</v>
      </c>
      <c r="M17" s="145" t="s">
        <v>22</v>
      </c>
      <c r="N17" s="145" t="s">
        <v>22</v>
      </c>
      <c r="O17" s="145" t="s">
        <v>22</v>
      </c>
      <c r="P17" s="145" t="s">
        <v>22</v>
      </c>
      <c r="Q17" s="145" t="s">
        <v>22</v>
      </c>
      <c r="R17" s="147" t="s">
        <v>23</v>
      </c>
      <c r="S17" s="148" t="str">
        <f t="shared" si="0"/>
        <v>Phạm Tuấn</v>
      </c>
      <c r="T17" s="148">
        <f t="shared" si="1"/>
        <v>24</v>
      </c>
      <c r="U17" s="148">
        <f t="shared" si="2"/>
        <v>16.359309934562763</v>
      </c>
    </row>
    <row r="18" spans="1:21" s="148" customFormat="1" ht="16.8">
      <c r="A18" s="138">
        <v>9</v>
      </c>
      <c r="B18" s="139" t="s">
        <v>153</v>
      </c>
      <c r="C18" s="149" t="s">
        <v>179</v>
      </c>
      <c r="D18" s="154">
        <v>45651</v>
      </c>
      <c r="E18" s="142" t="s">
        <v>189</v>
      </c>
      <c r="F18" s="150"/>
      <c r="G18" s="144">
        <v>10.5</v>
      </c>
      <c r="H18" s="145" t="str">
        <f>IF(DATEDIF(D18,DATE($X$4,$W$4,$V$4),"m")&lt;=60,LOOKUP(2,1/(G18&gt;=INDEX(IF(E18="x",CNTT!$B$4:$E$64,CNTT!$F$4:$I$64),MATCH(DATEDIF(D18,DATE($X$4,$W$4,$V$4),"m"),CNTT!$A$4:$A$64,0),0)),CNTT!$B$3:$E$3),LOOKUP(2,1/(G18&gt;=INDEX(IF(E18="x",CNTT!$B$70:$E$93,CNTT!$F$70:$I$93),MATCH(DATEDIF(D18,DATE($X$4,$W$4,$V$4),"m"),CNTT!$A$70:$A$93,0),0)),CNTT!$B$69:$E$69))</f>
        <v>bt</v>
      </c>
      <c r="I18" s="145">
        <v>85</v>
      </c>
      <c r="J18" s="146" t="str">
        <f>IF(DATEDIF(D18,DATE($X$4,$W$4,$V$4),"m")&lt;=60,LOOKUP(2,1/(I18&gt;=INDEX(IF(E18="x",CCTT!$B$4:$E$64,CCTT!$F$4:$I$64),MATCH(DATEDIF(D18,DATE($X$4,$W$4,$V$4),"m"),CCTT!$A$4:$A$64,0),0)),CCTT!$B$3:$E$3),LOOKUP(2,1/(I18&gt;=INDEX(IF(E18="x",CCTT!$B$70:$E$93,CCTT!$F$70:$I$93),MATCH(DATEDIF(D18,DATE($X$4,$W$4,$V$4),"m"),CCTT!$A$70:$A$93,0),0)),CCTT!B$69:E$69))</f>
        <v>bt</v>
      </c>
      <c r="K18" s="146" t="str">
        <f>IF(DATEDIF(D18,DATE($X$4,$W$4,$V$4),"m")&lt;24,LOOKUP(2,1/(G18&gt;=INDEX(IF(E18="x",CNTCC!$B$4:$F$134,CNTCC!$F$4),MATCH(I18,CNTCC!$A$4:$A$134,0),0)),CNTCC!$B$3:$F$3),IF(AND(DATEDIF(D18,DATE($X$4,$W$4,$V$4),"m")&gt;=24,DATEDIF(D18,DATE($X$4,$W$4,$V$4),"m")&lt;=60),LOOKUP(2,1/(G18&gt;=INDEX(IF(E18="x",CNTCC!$B$141:$F$251,CNTCC!$G$141:$K$251),MATCH(I18,CNTCC!$A$141:$A$251,0),0)),CNTCC!$B$140:$F$140),0))</f>
        <v>bt</v>
      </c>
      <c r="L18" s="145" t="s">
        <v>22</v>
      </c>
      <c r="M18" s="145" t="s">
        <v>22</v>
      </c>
      <c r="N18" s="145" t="s">
        <v>22</v>
      </c>
      <c r="O18" s="145" t="s">
        <v>22</v>
      </c>
      <c r="P18" s="145" t="s">
        <v>22</v>
      </c>
      <c r="Q18" s="145" t="s">
        <v>22</v>
      </c>
      <c r="R18" s="147" t="s">
        <v>23</v>
      </c>
      <c r="S18" s="148" t="str">
        <f t="shared" si="0"/>
        <v>Nguyễn Hoàng</v>
      </c>
      <c r="T18" s="148">
        <f t="shared" si="1"/>
        <v>20</v>
      </c>
      <c r="U18" s="148">
        <f t="shared" si="2"/>
        <v>14.532871972318341</v>
      </c>
    </row>
    <row r="19" spans="1:21" s="148" customFormat="1" ht="16.8">
      <c r="A19" s="138">
        <v>10</v>
      </c>
      <c r="B19" s="139" t="s">
        <v>237</v>
      </c>
      <c r="C19" s="140" t="s">
        <v>181</v>
      </c>
      <c r="D19" s="151">
        <v>45577</v>
      </c>
      <c r="E19" s="142" t="s">
        <v>189</v>
      </c>
      <c r="F19" s="150"/>
      <c r="G19" s="144">
        <v>16.600000000000001</v>
      </c>
      <c r="H19" s="155" t="str">
        <f>IF(DATEDIF(D19,DATE($X$4,$W$4,$V$4),"m")&lt;=60,LOOKUP(2,1/(G19&gt;=INDEX(IF(E19="x",CNTT!$B$4:$E$64,CNTT!$F$4:$I$64),MATCH(DATEDIF(D19,DATE($X$4,$W$4,$V$4),"m"),CNTT!$A$4:$A$64,0),0)),CNTT!$B$3:$E$3),LOOKUP(2,1/(G19&gt;=INDEX(IF(E19="x",CNTT!$B$70:$E$93,CNTT!$F$70:$I$93),MATCH(DATEDIF(D19,DATE($X$4,$W$4,$V$4),"m"),CNTT!$A$70:$A$93,0),0)),CNTT!$B$69:$E$69))</f>
        <v>CNC</v>
      </c>
      <c r="I19" s="145">
        <v>87</v>
      </c>
      <c r="J19" s="146" t="str">
        <f>IF(DATEDIF(D19,DATE($X$4,$W$4,$V$4),"m")&lt;=60,LOOKUP(2,1/(I19&gt;=INDEX(IF(E19="x",CCTT!$B$4:$E$64,CCTT!$F$4:$I$64),MATCH(DATEDIF(D19,DATE($X$4,$W$4,$V$4),"m"),CCTT!$A$4:$A$64,0),0)),CCTT!$B$3:$E$3),LOOKUP(2,1/(I19&gt;=INDEX(IF(E19="x",CCTT!$B$70:$E$93,CCTT!$F$70:$I$93),MATCH(DATEDIF(D19,DATE($X$4,$W$4,$V$4),"m"),CCTT!$A$70:$A$93,0),0)),CCTT!B$69:E$69))</f>
        <v>bt</v>
      </c>
      <c r="K19" s="156" t="s">
        <v>33</v>
      </c>
      <c r="L19" s="145" t="s">
        <v>22</v>
      </c>
      <c r="M19" s="145" t="s">
        <v>22</v>
      </c>
      <c r="N19" s="145" t="s">
        <v>22</v>
      </c>
      <c r="O19" s="145" t="s">
        <v>22</v>
      </c>
      <c r="P19" s="145" t="s">
        <v>22</v>
      </c>
      <c r="Q19" s="145" t="s">
        <v>22</v>
      </c>
      <c r="R19" s="147" t="s">
        <v>57</v>
      </c>
      <c r="S19" s="148" t="str">
        <f t="shared" si="0"/>
        <v>Lê Võ Quang</v>
      </c>
      <c r="T19" s="148">
        <f t="shared" si="1"/>
        <v>22</v>
      </c>
      <c r="U19" s="148">
        <f t="shared" si="2"/>
        <v>21.931562954155108</v>
      </c>
    </row>
    <row r="20" spans="1:21" s="148" customFormat="1" ht="16.8">
      <c r="A20" s="138">
        <v>11</v>
      </c>
      <c r="B20" s="139" t="s">
        <v>238</v>
      </c>
      <c r="C20" s="140" t="s">
        <v>181</v>
      </c>
      <c r="D20" s="151">
        <v>45480</v>
      </c>
      <c r="E20" s="142" t="s">
        <v>189</v>
      </c>
      <c r="F20" s="150"/>
      <c r="G20" s="144">
        <v>12.9</v>
      </c>
      <c r="H20" s="145" t="str">
        <f>IF(DATEDIF(D20,DATE($X$4,$W$4,$V$4),"m")&lt;=60,LOOKUP(2,1/(G20&gt;=INDEX(IF(E20="x",CNTT!$B$4:$E$64,CNTT!$F$4:$I$64),MATCH(DATEDIF(D20,DATE($X$4,$W$4,$V$4),"m"),CNTT!$A$4:$A$64,0),0)),CNTT!$B$3:$E$3),LOOKUP(2,1/(G20&gt;=INDEX(IF(E20="x",CNTT!$B$70:$E$93,CNTT!$F$70:$I$93),MATCH(DATEDIF(D20,DATE($X$4,$W$4,$V$4),"m"),CNTT!$A$70:$A$93,0),0)),CNTT!$B$69:$E$69))</f>
        <v>bt</v>
      </c>
      <c r="I20" s="145">
        <v>88</v>
      </c>
      <c r="J20" s="146" t="str">
        <f>IF(DATEDIF(D20,DATE($X$4,$W$4,$V$4),"m")&lt;=60,LOOKUP(2,1/(I20&gt;=INDEX(IF(E20="x",CCTT!$B$4:$E$64,CCTT!$F$4:$I$64),MATCH(DATEDIF(D20,DATE($X$4,$W$4,$V$4),"m"),CCTT!$A$4:$A$64,0),0)),CCTT!$B$3:$E$3),LOOKUP(2,1/(I20&gt;=INDEX(IF(E20="x",CCTT!$B$70:$E$93,CCTT!$F$70:$I$93),MATCH(DATEDIF(D20,DATE($X$4,$W$4,$V$4),"m"),CCTT!$A$70:$A$93,0),0)),CCTT!B$69:E$69))</f>
        <v>bt</v>
      </c>
      <c r="K20" s="146" t="str">
        <f>IF(DATEDIF(D20,DATE($X$4,$W$4,$V$4),"m")&lt;24,LOOKUP(2,1/(G20&gt;=INDEX(IF(E20="x",CNTCC!$B$4:$F$134,CNTCC!$F$4),MATCH(I20,CNTCC!$A$4:$A$134,0),0)),CNTCC!$B$3:$F$3),IF(AND(DATEDIF(D20,DATE($X$4,$W$4,$V$4),"m")&gt;=24,DATEDIF(D20,DATE($X$4,$W$4,$V$4),"m")&lt;=60),LOOKUP(2,1/(G20&gt;=INDEX(IF(E20="x",CNTCC!$B$141:$F$251,CNTCC!$G$141:$K$251),MATCH(I20,CNTCC!$A$141:$A$251,0),0)),CNTCC!$B$140:$F$140),0))</f>
        <v>bt</v>
      </c>
      <c r="L20" s="145" t="s">
        <v>22</v>
      </c>
      <c r="M20" s="145" t="s">
        <v>22</v>
      </c>
      <c r="N20" s="145" t="s">
        <v>22</v>
      </c>
      <c r="O20" s="145" t="s">
        <v>22</v>
      </c>
      <c r="P20" s="145" t="s">
        <v>22</v>
      </c>
      <c r="Q20" s="145" t="s">
        <v>22</v>
      </c>
      <c r="R20" s="147" t="s">
        <v>23</v>
      </c>
      <c r="S20" s="148" t="str">
        <f t="shared" si="0"/>
        <v>Từ Khải</v>
      </c>
      <c r="T20" s="148">
        <f t="shared" si="1"/>
        <v>25</v>
      </c>
      <c r="U20" s="148">
        <f t="shared" si="2"/>
        <v>16.658057851239672</v>
      </c>
    </row>
    <row r="21" spans="1:21" s="148" customFormat="1" ht="16.8">
      <c r="A21" s="138">
        <v>12</v>
      </c>
      <c r="B21" s="139" t="s">
        <v>168</v>
      </c>
      <c r="C21" s="140" t="s">
        <v>10</v>
      </c>
      <c r="D21" s="151">
        <v>45477</v>
      </c>
      <c r="E21" s="142" t="s">
        <v>189</v>
      </c>
      <c r="F21" s="150"/>
      <c r="G21" s="144">
        <v>14</v>
      </c>
      <c r="H21" s="145" t="str">
        <f>IF(DATEDIF(D21,DATE($X$4,$W$4,$V$4),"m")&lt;=60,LOOKUP(2,1/(G21&gt;=INDEX(IF(E21="x",CNTT!$B$4:$E$64,CNTT!$F$4:$I$64),MATCH(DATEDIF(D21,DATE($X$4,$W$4,$V$4),"m"),CNTT!$A$4:$A$64,0),0)),CNTT!$B$3:$E$3),LOOKUP(2,1/(G21&gt;=INDEX(IF(E21="x",CNTT!$B$70:$E$93,CNTT!$F$70:$I$93),MATCH(DATEDIF(D21,DATE($X$4,$W$4,$V$4),"m"),CNTT!$A$70:$A$93,0),0)),CNTT!$B$69:$E$69))</f>
        <v>bt</v>
      </c>
      <c r="I21" s="145">
        <v>86</v>
      </c>
      <c r="J21" s="146" t="str">
        <f>IF(DATEDIF(D21,DATE($X$4,$W$4,$V$4),"m")&lt;=60,LOOKUP(2,1/(I21&gt;=INDEX(IF(E21="x",CCTT!$B$4:$E$64,CCTT!$F$4:$I$64),MATCH(DATEDIF(D21,DATE($X$4,$W$4,$V$4),"m"),CCTT!$A$4:$A$64,0),0)),CCTT!$B$3:$E$3),LOOKUP(2,1/(I21&gt;=INDEX(IF(E21="x",CCTT!$B$70:$E$93,CCTT!$F$70:$I$93),MATCH(DATEDIF(D21,DATE($X$4,$W$4,$V$4),"m"),CCTT!$A$70:$A$93,0),0)),CCTT!B$69:E$69))</f>
        <v>bt</v>
      </c>
      <c r="K21" s="146" t="str">
        <f>IF(DATEDIF(D21,DATE($X$4,$W$4,$V$4),"m")&lt;24,LOOKUP(2,1/(G21&gt;=INDEX(IF(E21="x",CNTCC!$B$4:$F$134,CNTCC!$F$4),MATCH(I21,CNTCC!$A$4:$A$134,0),0)),CNTCC!$B$3:$F$3),IF(AND(DATEDIF(D21,DATE($X$4,$W$4,$V$4),"m")&gt;=24,DATEDIF(D21,DATE($X$4,$W$4,$V$4),"m")&lt;=60),LOOKUP(2,1/(G21&gt;=INDEX(IF(E21="x",CNTCC!$B$141:$F$251,CNTCC!$G$141:$K$251),MATCH(I21,CNTCC!$A$141:$A$251,0),0)),CNTCC!$B$140:$F$140),0))</f>
        <v>bt</v>
      </c>
      <c r="L21" s="145" t="s">
        <v>22</v>
      </c>
      <c r="M21" s="145" t="s">
        <v>22</v>
      </c>
      <c r="N21" s="145" t="s">
        <v>22</v>
      </c>
      <c r="O21" s="145" t="s">
        <v>22</v>
      </c>
      <c r="P21" s="145" t="s">
        <v>22</v>
      </c>
      <c r="Q21" s="145" t="s">
        <v>22</v>
      </c>
      <c r="R21" s="147" t="s">
        <v>23</v>
      </c>
      <c r="S21" s="148" t="str">
        <f t="shared" si="0"/>
        <v>Nguyễn Bảo</v>
      </c>
      <c r="T21" s="148">
        <f t="shared" si="1"/>
        <v>25</v>
      </c>
      <c r="U21" s="148">
        <f t="shared" si="2"/>
        <v>18.92915089237426</v>
      </c>
    </row>
    <row r="22" spans="1:21" s="148" customFormat="1" ht="16.8">
      <c r="A22" s="138">
        <v>13</v>
      </c>
      <c r="B22" s="139" t="s">
        <v>239</v>
      </c>
      <c r="C22" s="140" t="s">
        <v>240</v>
      </c>
      <c r="D22" s="151">
        <v>45415</v>
      </c>
      <c r="E22" s="142" t="s">
        <v>189</v>
      </c>
      <c r="F22" s="150"/>
      <c r="G22" s="144" t="s">
        <v>247</v>
      </c>
      <c r="H22" s="145" t="s">
        <v>25</v>
      </c>
      <c r="I22" s="145">
        <v>89</v>
      </c>
      <c r="J22" s="146" t="str">
        <f>IF(DATEDIF(D22,DATE($X$4,$W$4,$V$4),"m")&lt;=60,LOOKUP(2,1/(I22&gt;=INDEX(IF(E22="x",CCTT!$B$4:$E$64,CCTT!$F$4:$I$64),MATCH(DATEDIF(D22,DATE($X$4,$W$4,$V$4),"m"),CCTT!$A$4:$A$64,0),0)),CCTT!$B$3:$E$3),LOOKUP(2,1/(I22&gt;=INDEX(IF(E22="x",CCTT!$B$70:$E$93,CCTT!$F$70:$I$93),MATCH(DATEDIF(D22,DATE($X$4,$W$4,$V$4),"m"),CCTT!$A$70:$A$93,0),0)),CCTT!B$69:E$69))</f>
        <v>bt</v>
      </c>
      <c r="K22" s="146" t="s">
        <v>25</v>
      </c>
      <c r="L22" s="145" t="s">
        <v>22</v>
      </c>
      <c r="M22" s="145" t="s">
        <v>22</v>
      </c>
      <c r="N22" s="145" t="s">
        <v>22</v>
      </c>
      <c r="O22" s="145" t="s">
        <v>22</v>
      </c>
      <c r="P22" s="145" t="s">
        <v>22</v>
      </c>
      <c r="Q22" s="145" t="s">
        <v>22</v>
      </c>
      <c r="R22" s="147" t="s">
        <v>23</v>
      </c>
      <c r="S22" s="148" t="str">
        <f t="shared" si="0"/>
        <v>Bùi Phi</v>
      </c>
      <c r="T22" s="148">
        <f t="shared" si="1"/>
        <v>27</v>
      </c>
      <c r="U22" s="148" t="e">
        <f t="shared" si="2"/>
        <v>#VALUE!</v>
      </c>
    </row>
    <row r="23" spans="1:21" s="148" customFormat="1" ht="16.8">
      <c r="A23" s="138">
        <v>14</v>
      </c>
      <c r="B23" s="139" t="s">
        <v>241</v>
      </c>
      <c r="C23" s="140" t="s">
        <v>242</v>
      </c>
      <c r="D23" s="151">
        <v>45477</v>
      </c>
      <c r="E23" s="142"/>
      <c r="F23" s="150" t="s">
        <v>189</v>
      </c>
      <c r="G23" s="144">
        <v>10.5</v>
      </c>
      <c r="H23" s="145" t="str">
        <f>IF(DATEDIF(D23,DATE($X$4,$W$4,$V$4),"m")&lt;=60,LOOKUP(2,1/(G23&gt;=INDEX(IF(E23="x",CNTT!$B$4:$E$64,CNTT!$F$4:$I$64),MATCH(DATEDIF(D23,DATE($X$4,$W$4,$V$4),"m"),CNTT!$A$4:$A$64,0),0)),CNTT!$B$3:$E$3),LOOKUP(2,1/(G23&gt;=INDEX(IF(E23="x",CNTT!$B$70:$E$93,CNTT!$F$70:$I$93),MATCH(DATEDIF(D23,DATE($X$4,$W$4,$V$4),"m"),CNTT!$A$70:$A$93,0),0)),CNTT!$B$69:$E$69))</f>
        <v>bt</v>
      </c>
      <c r="I23" s="145">
        <v>84</v>
      </c>
      <c r="J23" s="146" t="str">
        <f>IF(DATEDIF(D23,DATE($X$4,$W$4,$V$4),"m")&lt;=60,LOOKUP(2,1/(I23&gt;=INDEX(IF(E23="x",CCTT!$B$4:$E$64,CCTT!$F$4:$I$64),MATCH(DATEDIF(D23,DATE($X$4,$W$4,$V$4),"m"),CCTT!$A$4:$A$64,0),0)),CCTT!$B$3:$E$3),LOOKUP(2,1/(I23&gt;=INDEX(IF(E23="x",CCTT!$B$70:$E$93,CCTT!$F$70:$I$93),MATCH(DATEDIF(D23,DATE($X$4,$W$4,$V$4),"m"),CCTT!$A$70:$A$93,0),0)),CCTT!B$69:E$69))</f>
        <v>bt</v>
      </c>
      <c r="K23" s="146" t="str">
        <f>IF(DATEDIF(D23,DATE($X$4,$W$4,$V$4),"m")&lt;24,LOOKUP(2,1/(G23&gt;=INDEX(IF(E23="x",CNTCC!$B$4:$F$134,CNTCC!$F$4),MATCH(I23,CNTCC!$A$4:$A$134,0),0)),CNTCC!$B$3:$F$3),IF(AND(DATEDIF(D23,DATE($X$4,$W$4,$V$4),"m")&gt;=24,DATEDIF(D23,DATE($X$4,$W$4,$V$4),"m")&lt;=60),LOOKUP(2,1/(G23&gt;=INDEX(IF(E23="x",CNTCC!$B$141:$F$251,CNTCC!$G$141:$K$251),MATCH(I23,CNTCC!$A$141:$A$251,0),0)),CNTCC!$B$140:$F$140),0))</f>
        <v>bt</v>
      </c>
      <c r="L23" s="145" t="s">
        <v>22</v>
      </c>
      <c r="M23" s="145" t="s">
        <v>22</v>
      </c>
      <c r="N23" s="145" t="s">
        <v>22</v>
      </c>
      <c r="O23" s="145" t="s">
        <v>22</v>
      </c>
      <c r="P23" s="145" t="s">
        <v>22</v>
      </c>
      <c r="Q23" s="145" t="s">
        <v>22</v>
      </c>
      <c r="R23" s="147" t="s">
        <v>23</v>
      </c>
      <c r="S23" s="148" t="str">
        <f t="shared" si="0"/>
        <v>Lâm Gia</v>
      </c>
      <c r="T23" s="148">
        <f t="shared" si="1"/>
        <v>25</v>
      </c>
      <c r="U23" s="148">
        <f t="shared" si="2"/>
        <v>14.880952380952383</v>
      </c>
    </row>
    <row r="24" spans="1:21" s="148" customFormat="1" ht="16.8">
      <c r="A24" s="138">
        <v>15</v>
      </c>
      <c r="B24" s="139" t="s">
        <v>243</v>
      </c>
      <c r="C24" s="140" t="s">
        <v>244</v>
      </c>
      <c r="D24" s="151">
        <v>45534</v>
      </c>
      <c r="E24" s="142" t="s">
        <v>189</v>
      </c>
      <c r="F24" s="150"/>
      <c r="G24" s="144">
        <v>12.6</v>
      </c>
      <c r="H24" s="145" t="str">
        <f>IF(DATEDIF(D24,DATE($X$4,$W$4,$V$4),"m")&lt;=60,LOOKUP(2,1/(G24&gt;=INDEX(IF(E24="x",CNTT!$B$4:$E$64,CNTT!$F$4:$I$64),MATCH(DATEDIF(D24,DATE($X$4,$W$4,$V$4),"m"),CNTT!$A$4:$A$64,0),0)),CNTT!$B$3:$E$3),LOOKUP(2,1/(G24&gt;=INDEX(IF(E24="x",CNTT!$B$70:$E$93,CNTT!$F$70:$I$93),MATCH(DATEDIF(D24,DATE($X$4,$W$4,$V$4),"m"),CNTT!$A$70:$A$93,0),0)),CNTT!$B$69:$E$69))</f>
        <v>bt</v>
      </c>
      <c r="I24" s="145">
        <v>87</v>
      </c>
      <c r="J24" s="146" t="str">
        <f>IF(DATEDIF(D24,DATE($X$4,$W$4,$V$4),"m")&lt;=60,LOOKUP(2,1/(I24&gt;=INDEX(IF(E24="x",CCTT!$B$4:$E$64,CCTT!$F$4:$I$64),MATCH(DATEDIF(D24,DATE($X$4,$W$4,$V$4),"m"),CCTT!$A$4:$A$64,0),0)),CCTT!$B$3:$E$3),LOOKUP(2,1/(I24&gt;=INDEX(IF(E24="x",CCTT!$B$70:$E$93,CCTT!$F$70:$I$93),MATCH(DATEDIF(D24,DATE($X$4,$W$4,$V$4),"m"),CCTT!$A$70:$A$93,0),0)),CCTT!B$69:E$69))</f>
        <v>bt</v>
      </c>
      <c r="K24" s="146" t="str">
        <f>IF(DATEDIF(D24,DATE($X$4,$W$4,$V$4),"m")&lt;24,LOOKUP(2,1/(G24&gt;=INDEX(IF(E24="x",CNTCC!$B$4:$F$134,CNTCC!$F$4),MATCH(I24,CNTCC!$A$4:$A$134,0),0)),CNTCC!$B$3:$F$3),IF(AND(DATEDIF(D24,DATE($X$4,$W$4,$V$4),"m")&gt;=24,DATEDIF(D24,DATE($X$4,$W$4,$V$4),"m")&lt;=60),LOOKUP(2,1/(G24&gt;=INDEX(IF(E24="x",CNTCC!$B$141:$F$251,CNTCC!$G$141:$K$251),MATCH(I24,CNTCC!$A$141:$A$251,0),0)),CNTCC!$B$140:$F$140),0))</f>
        <v>bt</v>
      </c>
      <c r="L24" s="145" t="s">
        <v>22</v>
      </c>
      <c r="M24" s="155" t="s">
        <v>47</v>
      </c>
      <c r="N24" s="145" t="s">
        <v>22</v>
      </c>
      <c r="O24" s="145" t="s">
        <v>22</v>
      </c>
      <c r="P24" s="145" t="s">
        <v>22</v>
      </c>
      <c r="Q24" s="145" t="s">
        <v>22</v>
      </c>
      <c r="R24" s="147" t="s">
        <v>57</v>
      </c>
      <c r="S24" s="148" t="str">
        <f t="shared" si="0"/>
        <v>Bùi Minh</v>
      </c>
      <c r="T24" s="148">
        <f t="shared" si="1"/>
        <v>24</v>
      </c>
      <c r="U24" s="148">
        <f t="shared" si="2"/>
        <v>16.646848989298455</v>
      </c>
    </row>
    <row r="25" spans="1:21" s="148" customFormat="1" ht="16.8">
      <c r="A25" s="138">
        <v>16</v>
      </c>
      <c r="B25" s="139" t="s">
        <v>245</v>
      </c>
      <c r="C25" s="140" t="s">
        <v>246</v>
      </c>
      <c r="D25" s="151">
        <v>45473</v>
      </c>
      <c r="E25" s="142"/>
      <c r="F25" s="150" t="s">
        <v>189</v>
      </c>
      <c r="G25" s="144">
        <v>16</v>
      </c>
      <c r="H25" s="155" t="str">
        <f>IF(DATEDIF(D25,DATE($X$4,$W$4,$V$4),"m")&lt;=60,LOOKUP(2,1/(G25&gt;=INDEX(IF(E25="x",CNTT!$B$4:$E$64,CNTT!$F$4:$I$64),MATCH(DATEDIF(D25,DATE($X$4,$W$4,$V$4),"m"),CNTT!$A$4:$A$64,0),0)),CNTT!$B$3:$E$3),LOOKUP(2,1/(G25&gt;=INDEX(IF(E25="x",CNTT!$B$70:$E$93,CNTT!$F$70:$I$93),MATCH(DATEDIF(D25,DATE($X$4,$W$4,$V$4),"m"),CNTT!$A$70:$A$93,0),0)),CNTT!$B$69:$E$69))</f>
        <v>CNC</v>
      </c>
      <c r="I25" s="145">
        <v>90</v>
      </c>
      <c r="J25" s="146" t="str">
        <f>IF(DATEDIF(D25,DATE($X$4,$W$4,$V$4),"m")&lt;=60,LOOKUP(2,1/(I25&gt;=INDEX(IF(E25="x",CCTT!$B$4:$E$64,CCTT!$F$4:$I$64),MATCH(DATEDIF(D25,DATE($X$4,$W$4,$V$4),"m"),CCTT!$A$4:$A$64,0),0)),CCTT!$B$3:$E$3),LOOKUP(2,1/(I25&gt;=INDEX(IF(E25="x",CCTT!$B$70:$E$93,CCTT!$F$70:$I$93),MATCH(DATEDIF(D25,DATE($X$4,$W$4,$V$4),"m"),CCTT!$A$70:$A$93,0),0)),CCTT!B$69:E$69))</f>
        <v>bt</v>
      </c>
      <c r="K25" s="156" t="str">
        <f>IF(DATEDIF(D25,DATE($X$4,$W$4,$V$4),"m")&lt;24,LOOKUP(2,1/(G25&gt;=INDEX(IF(E25="x",CNTCC!$B$4:$F$134,CNTCC!$F$4),MATCH(I25,CNTCC!$A$4:$A$134,0),0)),CNTCC!$B$3:$F$3),IF(AND(DATEDIF(D25,DATE($X$4,$W$4,$V$4),"m")&gt;=24,DATEDIF(D25,DATE($X$4,$W$4,$V$4),"m")&lt;=60),LOOKUP(2,1/(G25&gt;=INDEX(IF(E25="x",CNTCC!$B$141:$F$251,CNTCC!$G$141:$K$251),MATCH(I25,CNTCC!$A$141:$A$251,0),0)),CNTCC!$B$140:$F$140),0))</f>
        <v>TC</v>
      </c>
      <c r="L25" s="145" t="s">
        <v>22</v>
      </c>
      <c r="M25" s="145" t="s">
        <v>22</v>
      </c>
      <c r="N25" s="145" t="s">
        <v>22</v>
      </c>
      <c r="O25" s="145" t="s">
        <v>22</v>
      </c>
      <c r="P25" s="145" t="s">
        <v>22</v>
      </c>
      <c r="Q25" s="145" t="s">
        <v>22</v>
      </c>
      <c r="R25" s="147" t="s">
        <v>57</v>
      </c>
      <c r="S25" s="148" t="str">
        <f t="shared" si="0"/>
        <v>Hà A</v>
      </c>
      <c r="T25" s="148">
        <f t="shared" si="1"/>
        <v>26</v>
      </c>
      <c r="U25" s="148">
        <f t="shared" si="2"/>
        <v>19.753086419753085</v>
      </c>
    </row>
    <row r="26" spans="1:21" ht="16.8">
      <c r="A26" s="68"/>
      <c r="B26" s="74"/>
      <c r="C26" s="69"/>
      <c r="D26" s="75"/>
      <c r="E26" s="70"/>
      <c r="F26" s="70"/>
      <c r="G26" s="70"/>
      <c r="H26" s="71"/>
      <c r="I26" s="70"/>
      <c r="J26" s="94"/>
      <c r="K26" s="94"/>
      <c r="L26" s="71"/>
      <c r="M26" s="76"/>
      <c r="N26" s="71"/>
      <c r="O26" s="71"/>
      <c r="P26" s="71"/>
      <c r="Q26" s="71"/>
      <c r="R26" s="73"/>
    </row>
    <row r="27" spans="1:21" s="3" customFormat="1">
      <c r="A27" s="93"/>
      <c r="C27" s="13"/>
      <c r="D27" s="13" t="s">
        <v>24</v>
      </c>
      <c r="E27" s="13"/>
      <c r="F27" s="13"/>
      <c r="G27" s="14"/>
      <c r="H27" s="14"/>
      <c r="I27" s="14"/>
      <c r="J27" s="14"/>
      <c r="K27" s="14"/>
      <c r="L27" s="15"/>
      <c r="M27" s="15"/>
      <c r="N27" s="15"/>
      <c r="O27" s="15"/>
      <c r="P27" s="15"/>
      <c r="Q27" s="15"/>
      <c r="R27" s="14"/>
    </row>
    <row r="28" spans="1:21" s="3" customFormat="1">
      <c r="B28" s="15"/>
      <c r="C28" s="15"/>
      <c r="D28" s="15"/>
      <c r="E28" s="15"/>
      <c r="F28" s="15"/>
      <c r="G28" s="14"/>
      <c r="H28" s="14"/>
      <c r="I28" s="14"/>
      <c r="J28" s="14"/>
      <c r="K28" s="14"/>
      <c r="L28" s="15"/>
      <c r="M28" s="15"/>
      <c r="N28" s="15"/>
      <c r="O28" s="15"/>
      <c r="P28" s="15"/>
      <c r="Q28" s="15"/>
      <c r="R28" s="14"/>
    </row>
    <row r="29" spans="1:21" s="3" customFormat="1">
      <c r="A29" s="16" t="s">
        <v>25</v>
      </c>
      <c r="C29" s="15" t="s">
        <v>26</v>
      </c>
      <c r="D29" s="15"/>
      <c r="E29" s="15"/>
      <c r="F29" s="15"/>
      <c r="G29" s="14"/>
      <c r="H29" s="14"/>
      <c r="I29" s="16" t="s">
        <v>27</v>
      </c>
      <c r="J29" s="15"/>
      <c r="K29" s="15"/>
      <c r="L29" s="15" t="s">
        <v>28</v>
      </c>
      <c r="M29" s="15"/>
      <c r="N29" s="15"/>
      <c r="O29" s="15"/>
      <c r="P29" s="15"/>
      <c r="Q29" s="15"/>
      <c r="R29" s="14"/>
    </row>
    <row r="30" spans="1:21" s="3" customFormat="1">
      <c r="A30" s="16" t="s">
        <v>29</v>
      </c>
      <c r="C30" s="15" t="s">
        <v>30</v>
      </c>
      <c r="D30" s="15"/>
      <c r="E30" s="15"/>
      <c r="F30" s="15"/>
      <c r="G30" s="14"/>
      <c r="H30" s="14"/>
      <c r="I30" s="16" t="s">
        <v>31</v>
      </c>
      <c r="J30" s="15"/>
      <c r="K30" s="15"/>
      <c r="L30" s="15" t="s">
        <v>32</v>
      </c>
      <c r="M30" s="15"/>
      <c r="N30" s="15"/>
      <c r="O30" s="15"/>
      <c r="P30" s="15"/>
      <c r="Q30" s="15"/>
      <c r="R30" s="14"/>
    </row>
    <row r="31" spans="1:21" s="3" customFormat="1">
      <c r="A31" s="16" t="s">
        <v>33</v>
      </c>
      <c r="C31" s="15" t="s">
        <v>34</v>
      </c>
      <c r="D31" s="15"/>
      <c r="E31" s="15"/>
      <c r="F31" s="15"/>
      <c r="G31" s="14"/>
      <c r="H31" s="14"/>
      <c r="I31" s="16" t="s">
        <v>35</v>
      </c>
      <c r="J31" s="15"/>
      <c r="K31" s="15"/>
      <c r="L31" s="15" t="s">
        <v>36</v>
      </c>
      <c r="M31" s="15"/>
      <c r="N31" s="15"/>
      <c r="O31" s="15"/>
      <c r="P31" s="15"/>
      <c r="Q31" s="15"/>
      <c r="R31" s="14"/>
    </row>
    <row r="32" spans="1:21" s="3" customFormat="1">
      <c r="A32" s="16" t="s">
        <v>37</v>
      </c>
      <c r="C32" s="15" t="s">
        <v>38</v>
      </c>
      <c r="D32" s="15"/>
      <c r="E32" s="15"/>
      <c r="F32" s="15"/>
      <c r="G32" s="14"/>
      <c r="H32" s="14"/>
      <c r="I32" s="16" t="s">
        <v>39</v>
      </c>
      <c r="J32" s="15"/>
      <c r="K32" s="15"/>
      <c r="L32" s="15" t="s">
        <v>40</v>
      </c>
      <c r="M32" s="15"/>
      <c r="N32" s="15"/>
      <c r="O32" s="15"/>
      <c r="P32" s="15"/>
      <c r="Q32" s="15"/>
      <c r="R32" s="14"/>
    </row>
    <row r="33" spans="1:18">
      <c r="A33" s="16" t="s">
        <v>41</v>
      </c>
      <c r="C33" s="15" t="s">
        <v>42</v>
      </c>
      <c r="D33" s="15"/>
      <c r="E33" s="15"/>
      <c r="F33" s="15"/>
      <c r="G33" s="14"/>
      <c r="H33" s="14"/>
      <c r="I33" s="16" t="s">
        <v>43</v>
      </c>
      <c r="J33" s="15"/>
      <c r="K33" s="15"/>
      <c r="L33" s="15" t="s">
        <v>44</v>
      </c>
      <c r="M33" s="15"/>
      <c r="N33" s="15"/>
      <c r="O33" s="15"/>
      <c r="P33" s="15"/>
      <c r="Q33" s="15"/>
      <c r="R33" s="14"/>
    </row>
    <row r="34" spans="1:18">
      <c r="A34" s="4" t="s">
        <v>45</v>
      </c>
      <c r="C34" s="3" t="s">
        <v>46</v>
      </c>
      <c r="I34" s="5" t="s">
        <v>47</v>
      </c>
      <c r="L34" s="4" t="s">
        <v>48</v>
      </c>
    </row>
    <row r="35" spans="1:18">
      <c r="A35" s="4" t="s">
        <v>49</v>
      </c>
      <c r="C35" s="3" t="s">
        <v>50</v>
      </c>
      <c r="I35" s="5" t="s">
        <v>51</v>
      </c>
      <c r="L35" s="4" t="s">
        <v>52</v>
      </c>
    </row>
    <row r="36" spans="1:18">
      <c r="A36" s="4" t="s">
        <v>53</v>
      </c>
      <c r="C36" s="3" t="s">
        <v>54</v>
      </c>
      <c r="I36" s="5" t="s">
        <v>55</v>
      </c>
      <c r="L36" s="4" t="s">
        <v>56</v>
      </c>
    </row>
  </sheetData>
  <autoFilter ref="A9:WWA25"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62969-EB00-4374-A38E-FC0A80A412DA}">
  <sheetPr>
    <tabColor rgb="FF92D050"/>
  </sheetPr>
  <dimension ref="A1:AK39"/>
  <sheetViews>
    <sheetView zoomScale="62" zoomScaleNormal="62" zoomScaleSheetLayoutView="100" workbookViewId="0">
      <pane ySplit="9" topLeftCell="A10" activePane="bottomLeft" state="frozen"/>
      <selection activeCell="T34" sqref="T34"/>
      <selection pane="bottomLeft" activeCell="K28" sqref="K28"/>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332</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16.8">
      <c r="A10" s="138">
        <v>1</v>
      </c>
      <c r="B10" s="139" t="s">
        <v>306</v>
      </c>
      <c r="C10" s="140" t="s">
        <v>167</v>
      </c>
      <c r="D10" s="141">
        <v>45241</v>
      </c>
      <c r="E10" s="142" t="s">
        <v>189</v>
      </c>
      <c r="F10" s="143"/>
      <c r="G10" s="144">
        <v>14.9</v>
      </c>
      <c r="H10" s="145" t="str">
        <f>IF(DATEDIF(D10,DATE($X$4,$W$4,$V$4),"m")&lt;=60,LOOKUP(2,1/(G10&gt;=INDEX(IF(E10="x",CNTT!$B$4:$E$64,CNTT!$F$4:$I$64),MATCH(DATEDIF(D10,DATE($X$4,$W$4,$V$4),"m"),CNTT!$A$4:$A$64,0),0)),CNTT!$B$3:$E$3),LOOKUP(2,1/(G10&gt;=INDEX(IF(E10="x",CNTT!$B$70:$E$93,CNTT!$F$70:$I$93),MATCH(DATEDIF(D10,DATE($X$4,$W$4,$V$4),"m"),CNTT!$A$70:$A$93,0),0)),CNTT!$B$69:$E$69))</f>
        <v>bt</v>
      </c>
      <c r="I10" s="145">
        <v>97</v>
      </c>
      <c r="J10" s="146" t="str">
        <f>IF(DATEDIF(D10,DATE($X$4,$W$4,$V$4),"m")&lt;=60,LOOKUP(2,1/(I10&gt;=INDEX(IF(E10="x",CCTT!$B$4:$E$64,CCTT!$F$4:$I$64),MATCH(DATEDIF(D10,DATE($X$4,$W$4,$V$4),"m"),CCTT!$A$4:$A$64,0),0)),CCTT!$B$3:$E$3),LOOKUP(2,1/(I10&gt;=INDEX(IF(E10="x",CCTT!$B$70:$E$93,CCTT!$F$70:$I$93),MATCH(DATEDIF(D10,DATE($X$4,$W$4,$V$4),"m"),CCTT!$A$70:$A$93,0),0)),CCTT!B$69:E$69))</f>
        <v>bt</v>
      </c>
      <c r="K10" s="146" t="str">
        <f>IF(DATEDIF(D10,DATE($X$4,$W$4,$V$4),"m")&lt;24,LOOKUP(2,1/(G10&gt;=INDEX(IF(E10="x",CNTCC!$B$4:$F$134,CNTCC!$F$4),MATCH(I10,CNTCC!$A$4:$A$134,0),0)),CNTCC!$B$3:$F$3),IF(AND(DATEDIF(D10,DATE($X$4,$W$4,$V$4),"m")&gt;=24,DATEDIF(D10,DATE($X$4,$W$4,$V$4),"m")&lt;=60),LOOKUP(2,1/(G10&gt;=INDEX(IF(E10="x",CNTCC!$B$141:$F$251,CNTCC!$G$141:$K$251),MATCH(I10,CNTCC!$A$141:$A$251,0),0)),CNTCC!$B$140:$F$140),0))</f>
        <v>bt</v>
      </c>
      <c r="L10" s="145" t="s">
        <v>22</v>
      </c>
      <c r="M10" s="155" t="s">
        <v>51</v>
      </c>
      <c r="N10" s="145" t="s">
        <v>22</v>
      </c>
      <c r="O10" s="145" t="s">
        <v>22</v>
      </c>
      <c r="P10" s="145" t="s">
        <v>22</v>
      </c>
      <c r="Q10" s="145" t="s">
        <v>22</v>
      </c>
      <c r="R10" s="147" t="s">
        <v>57</v>
      </c>
      <c r="S10" s="148" t="str">
        <f>PROPER(B10)</f>
        <v>Lê Nhật Duy</v>
      </c>
      <c r="T10" s="148">
        <f>DATEDIF(D10,DATE($X$4,$W$4,$V$4),"m")</f>
        <v>33</v>
      </c>
      <c r="U10" s="148">
        <f>G10/(I10/100)^2</f>
        <v>15.835901796152621</v>
      </c>
      <c r="W10" s="145"/>
      <c r="Y10" s="146">
        <f>COUNTIF(H10:H28,Y9)</f>
        <v>17</v>
      </c>
      <c r="Z10" s="146">
        <f>COUNTIF(H10:H28,Z9)</f>
        <v>1</v>
      </c>
      <c r="AA10" s="146">
        <f>COUNTIF(H10:H28,AA9)</f>
        <v>1</v>
      </c>
      <c r="AB10" s="146">
        <f>COUNTIF(J10:J28,AB9)</f>
        <v>18</v>
      </c>
      <c r="AC10" s="146">
        <f>COUNTIF(J10:J28,AC9)</f>
        <v>1</v>
      </c>
      <c r="AD10" s="146">
        <f>COUNTIF(J10:J28,AD9)</f>
        <v>0</v>
      </c>
      <c r="AE10" s="146">
        <f>COUNTIF(K10:K28,AE9)</f>
        <v>18</v>
      </c>
      <c r="AF10" s="146">
        <f>COUNTIF(K10:K28,AF9)</f>
        <v>0</v>
      </c>
      <c r="AG10" s="146">
        <f>COUNTIF(K10:K28,AG9)</f>
        <v>0</v>
      </c>
      <c r="AH10" s="146">
        <f>COUNTIF(K10:K28,AH9)</f>
        <v>1</v>
      </c>
      <c r="AI10" s="146">
        <f>COUNTIF(R10:R28,AI9)</f>
        <v>14</v>
      </c>
      <c r="AJ10" s="146">
        <f>COUNTIF(R10:R28,AJ9)</f>
        <v>5</v>
      </c>
      <c r="AK10" s="146">
        <f>COUNTIF(R10:R28,AK9)</f>
        <v>0</v>
      </c>
    </row>
    <row r="11" spans="1:37" s="148" customFormat="1" ht="16.8">
      <c r="A11" s="138">
        <v>2</v>
      </c>
      <c r="B11" s="139" t="s">
        <v>307</v>
      </c>
      <c r="C11" s="149" t="s">
        <v>158</v>
      </c>
      <c r="D11" s="141">
        <v>45013</v>
      </c>
      <c r="E11" s="142"/>
      <c r="F11" s="150" t="s">
        <v>189</v>
      </c>
      <c r="G11" s="144">
        <v>17.5</v>
      </c>
      <c r="H11" s="145" t="str">
        <f>IF(DATEDIF(D11,DATE($X$4,$W$4,$V$4),"m")&lt;=60,LOOKUP(2,1/(G11&gt;=INDEX(IF(E11="x",CNTT!$B$4:$E$64,CNTT!$F$4:$I$64),MATCH(DATEDIF(D11,DATE($X$4,$W$4,$V$4),"m"),CNTT!$A$4:$A$64,0),0)),CNTT!$B$3:$E$3),LOOKUP(2,1/(G11&gt;=INDEX(IF(E11="x",CNTT!$B$70:$E$93,CNTT!$F$70:$I$93),MATCH(DATEDIF(D11,DATE($X$4,$W$4,$V$4),"m"),CNTT!$A$70:$A$93,0),0)),CNTT!$B$69:$E$69))</f>
        <v>bt</v>
      </c>
      <c r="I11" s="145">
        <v>100</v>
      </c>
      <c r="J11" s="146" t="str">
        <f>IF(DATEDIF(D11,DATE($X$4,$W$4,$V$4),"m")&lt;=60,LOOKUP(2,1/(I11&gt;=INDEX(IF(E11="x",CCTT!$B$4:$E$64,CCTT!$F$4:$I$64),MATCH(DATEDIF(D11,DATE($X$4,$W$4,$V$4),"m"),CCTT!$A$4:$A$64,0),0)),CCTT!$B$3:$E$3),LOOKUP(2,1/(I11&gt;=INDEX(IF(E11="x",CCTT!$B$70:$E$93,CCTT!$F$70:$I$93),MATCH(DATEDIF(D11,DATE($X$4,$W$4,$V$4),"m"),CCTT!$A$70:$A$93,0),0)),CCTT!B$69:E$69))</f>
        <v>bt</v>
      </c>
      <c r="K11" s="146" t="str">
        <f>IF(DATEDIF(D11,DATE($X$4,$W$4,$V$4),"m")&lt;24,LOOKUP(2,1/(G11&gt;=INDEX(IF(E11="x",CNTCC!$B$4:$F$134,CNTCC!$F$4),MATCH(I11,CNTCC!$A$4:$A$134,0),0)),CNTCC!$B$3:$F$3),IF(AND(DATEDIF(D11,DATE($X$4,$W$4,$V$4),"m")&gt;=24,DATEDIF(D11,DATE($X$4,$W$4,$V$4),"m")&lt;=60),LOOKUP(2,1/(G11&gt;=INDEX(IF(E11="x",CNTCC!$B$141:$F$251,CNTCC!$G$141:$K$251),MATCH(I11,CNTCC!$A$141:$A$251,0),0)),CNTCC!$B$140:$F$140),0))</f>
        <v>bt</v>
      </c>
      <c r="L11" s="145" t="s">
        <v>22</v>
      </c>
      <c r="M11" s="145" t="s">
        <v>22</v>
      </c>
      <c r="N11" s="145" t="s">
        <v>22</v>
      </c>
      <c r="O11" s="145" t="s">
        <v>22</v>
      </c>
      <c r="P11" s="145" t="s">
        <v>22</v>
      </c>
      <c r="Q11" s="145" t="s">
        <v>22</v>
      </c>
      <c r="R11" s="147" t="s">
        <v>23</v>
      </c>
      <c r="S11" s="148" t="str">
        <f t="shared" ref="S11:S28" si="0">PROPER(B11)</f>
        <v>Cao Ng. Phương</v>
      </c>
      <c r="T11" s="148">
        <f t="shared" ref="T11:T28" si="1">DATEDIF(D11,DATE($X$4,$W$4,$V$4),"m")</f>
        <v>41</v>
      </c>
      <c r="U11" s="148">
        <f t="shared" ref="U11:U28" si="2">G11/(I11/100)^2</f>
        <v>17.5</v>
      </c>
      <c r="Y11" s="148">
        <f>SUM(Y10:AA10)</f>
        <v>19</v>
      </c>
    </row>
    <row r="12" spans="1:37" s="148" customFormat="1" ht="16.8">
      <c r="A12" s="138">
        <v>3</v>
      </c>
      <c r="B12" s="139" t="s">
        <v>198</v>
      </c>
      <c r="C12" s="149" t="s">
        <v>308</v>
      </c>
      <c r="D12" s="151">
        <v>45016</v>
      </c>
      <c r="E12" s="142" t="s">
        <v>189</v>
      </c>
      <c r="F12" s="143"/>
      <c r="G12" s="144">
        <v>15.8</v>
      </c>
      <c r="H12" s="145" t="str">
        <f>IF(DATEDIF(D12,DATE($X$4,$W$4,$V$4),"m")&lt;=60,LOOKUP(2,1/(G12&gt;=INDEX(IF(E12="x",CNTT!$B$4:$E$64,CNTT!$F$4:$I$64),MATCH(DATEDIF(D12,DATE($X$4,$W$4,$V$4),"m"),CNTT!$A$4:$A$64,0),0)),CNTT!$B$3:$E$3),LOOKUP(2,1/(G12&gt;=INDEX(IF(E12="x",CNTT!$B$70:$E$93,CNTT!$F$70:$I$93),MATCH(DATEDIF(D12,DATE($X$4,$W$4,$V$4),"m"),CNTT!$A$70:$A$93,0),0)),CNTT!$B$69:$E$69))</f>
        <v>bt</v>
      </c>
      <c r="I12" s="145">
        <v>98</v>
      </c>
      <c r="J12" s="146" t="str">
        <f>IF(DATEDIF(D12,DATE($X$4,$W$4,$V$4),"m")&lt;=60,LOOKUP(2,1/(I12&gt;=INDEX(IF(E12="x",CCTT!$B$4:$E$64,CCTT!$F$4:$I$64),MATCH(DATEDIF(D12,DATE($X$4,$W$4,$V$4),"m"),CCTT!$A$4:$A$64,0),0)),CCTT!$B$3:$E$3),LOOKUP(2,1/(I12&gt;=INDEX(IF(E12="x",CCTT!$B$70:$E$93,CCTT!$F$70:$I$93),MATCH(DATEDIF(D12,DATE($X$4,$W$4,$V$4),"m"),CCTT!$A$70:$A$93,0),0)),CCTT!B$69:E$69))</f>
        <v>bt</v>
      </c>
      <c r="K12" s="146" t="str">
        <f>IF(DATEDIF(D12,DATE($X$4,$W$4,$V$4),"m")&lt;24,LOOKUP(2,1/(G12&gt;=INDEX(IF(E12="x",CNTCC!$B$4:$F$134,CNTCC!$F$4),MATCH(I12,CNTCC!$A$4:$A$134,0),0)),CNTCC!$B$3:$F$3),IF(AND(DATEDIF(D12,DATE($X$4,$W$4,$V$4),"m")&gt;=24,DATEDIF(D12,DATE($X$4,$W$4,$V$4),"m")&lt;=60),LOOKUP(2,1/(G12&gt;=INDEX(IF(E12="x",CNTCC!$B$141:$F$251,CNTCC!$G$141:$K$251),MATCH(I12,CNTCC!$A$141:$A$251,0),0)),CNTCC!$B$140:$F$140),0))</f>
        <v>bt</v>
      </c>
      <c r="L12" s="145" t="s">
        <v>22</v>
      </c>
      <c r="M12" s="145" t="s">
        <v>22</v>
      </c>
      <c r="N12" s="145" t="s">
        <v>22</v>
      </c>
      <c r="O12" s="145" t="s">
        <v>22</v>
      </c>
      <c r="P12" s="145" t="s">
        <v>22</v>
      </c>
      <c r="Q12" s="145" t="s">
        <v>22</v>
      </c>
      <c r="R12" s="147" t="s">
        <v>23</v>
      </c>
      <c r="S12" s="148" t="str">
        <f t="shared" si="0"/>
        <v>Nguyễn Trúc</v>
      </c>
      <c r="T12" s="148">
        <f t="shared" si="1"/>
        <v>41</v>
      </c>
      <c r="U12" s="148">
        <f t="shared" si="2"/>
        <v>16.451478550603916</v>
      </c>
      <c r="Y12" s="148">
        <f>SUM(AB10:AD10)</f>
        <v>19</v>
      </c>
    </row>
    <row r="13" spans="1:37" s="148" customFormat="1" ht="18" customHeight="1">
      <c r="A13" s="138">
        <v>4</v>
      </c>
      <c r="B13" s="139" t="s">
        <v>309</v>
      </c>
      <c r="C13" s="149" t="s">
        <v>175</v>
      </c>
      <c r="D13" s="151">
        <v>45067</v>
      </c>
      <c r="E13" s="142"/>
      <c r="F13" s="143" t="s">
        <v>189</v>
      </c>
      <c r="G13" s="144">
        <v>13.3</v>
      </c>
      <c r="H13" s="145" t="str">
        <f>IF(DATEDIF(D13,DATE($X$4,$W$4,$V$4),"m")&lt;=60,LOOKUP(2,1/(G13&gt;=INDEX(IF(E13="x",CNTT!$B$4:$E$64,CNTT!$F$4:$I$64),MATCH(DATEDIF(D13,DATE($X$4,$W$4,$V$4),"m"),CNTT!$A$4:$A$64,0),0)),CNTT!$B$3:$E$3),LOOKUP(2,1/(G13&gt;=INDEX(IF(E13="x",CNTT!$B$70:$E$93,CNTT!$F$70:$I$93),MATCH(DATEDIF(D13,DATE($X$4,$W$4,$V$4),"m"),CNTT!$A$70:$A$93,0),0)),CNTT!$B$69:$E$69))</f>
        <v>bt</v>
      </c>
      <c r="I13" s="145">
        <v>95</v>
      </c>
      <c r="J13" s="146" t="str">
        <f>IF(DATEDIF(D13,DATE($X$4,$W$4,$V$4),"m")&lt;=60,LOOKUP(2,1/(I13&gt;=INDEX(IF(E13="x",CCTT!$B$4:$E$64,CCTT!$F$4:$I$64),MATCH(DATEDIF(D13,DATE($X$4,$W$4,$V$4),"m"),CCTT!$A$4:$A$64,0),0)),CCTT!$B$3:$E$3),LOOKUP(2,1/(I13&gt;=INDEX(IF(E13="x",CCTT!$B$70:$E$93,CCTT!$F$70:$I$93),MATCH(DATEDIF(D13,DATE($X$4,$W$4,$V$4),"m"),CCTT!$A$70:$A$93,0),0)),CCTT!B$69:E$69))</f>
        <v>bt</v>
      </c>
      <c r="K13" s="146" t="str">
        <f>IF(DATEDIF(D13,DATE($X$4,$W$4,$V$4),"m")&lt;24,LOOKUP(2,1/(G13&gt;=INDEX(IF(E13="x",CNTCC!$B$4:$F$134,CNTCC!$F$4),MATCH(I13,CNTCC!$A$4:$A$134,0),0)),CNTCC!$B$3:$F$3),IF(AND(DATEDIF(D13,DATE($X$4,$W$4,$V$4),"m")&gt;=24,DATEDIF(D13,DATE($X$4,$W$4,$V$4),"m")&lt;=60),LOOKUP(2,1/(G13&gt;=INDEX(IF(E13="x",CNTCC!$B$141:$F$251,CNTCC!$G$141:$K$251),MATCH(I13,CNTCC!$A$141:$A$251,0),0)),CNTCC!$B$140:$F$140),0))</f>
        <v>bt</v>
      </c>
      <c r="L13" s="145" t="s">
        <v>22</v>
      </c>
      <c r="M13" s="145" t="s">
        <v>22</v>
      </c>
      <c r="N13" s="145" t="s">
        <v>22</v>
      </c>
      <c r="O13" s="145" t="s">
        <v>22</v>
      </c>
      <c r="P13" s="145" t="s">
        <v>22</v>
      </c>
      <c r="Q13" s="145" t="s">
        <v>22</v>
      </c>
      <c r="R13" s="147" t="s">
        <v>23</v>
      </c>
      <c r="S13" s="148" t="str">
        <f t="shared" si="0"/>
        <v>Trần Ngọc Khánh</v>
      </c>
      <c r="T13" s="148">
        <f t="shared" si="1"/>
        <v>39</v>
      </c>
      <c r="U13" s="148">
        <f t="shared" si="2"/>
        <v>14.736842105263159</v>
      </c>
      <c r="Y13" s="148">
        <f>SUM(AE10:AH10)</f>
        <v>19</v>
      </c>
    </row>
    <row r="14" spans="1:37" s="148" customFormat="1" ht="16.8">
      <c r="A14" s="138">
        <v>5</v>
      </c>
      <c r="B14" s="139" t="s">
        <v>153</v>
      </c>
      <c r="C14" s="149" t="s">
        <v>310</v>
      </c>
      <c r="D14" s="151">
        <v>45105</v>
      </c>
      <c r="E14" s="142" t="s">
        <v>189</v>
      </c>
      <c r="F14" s="150"/>
      <c r="G14" s="144">
        <v>13.9</v>
      </c>
      <c r="H14" s="145" t="str">
        <f>IF(DATEDIF(D14,DATE($X$4,$W$4,$V$4),"m")&lt;=60,LOOKUP(2,1/(G14&gt;=INDEX(IF(E14="x",CNTT!$B$4:$E$64,CNTT!$F$4:$I$64),MATCH(DATEDIF(D14,DATE($X$4,$W$4,$V$4),"m"),CNTT!$A$4:$A$64,0),0)),CNTT!$B$3:$E$3),LOOKUP(2,1/(G14&gt;=INDEX(IF(E14="x",CNTT!$B$70:$E$93,CNTT!$F$70:$I$93),MATCH(DATEDIF(D14,DATE($X$4,$W$4,$V$4),"m"),CNTT!$A$70:$A$93,0),0)),CNTT!$B$69:$E$69))</f>
        <v>bt</v>
      </c>
      <c r="I14" s="145">
        <v>94</v>
      </c>
      <c r="J14" s="146" t="str">
        <f>IF(DATEDIF(D14,DATE($X$4,$W$4,$V$4),"m")&lt;=60,LOOKUP(2,1/(I14&gt;=INDEX(IF(E14="x",CCTT!$B$4:$E$64,CCTT!$F$4:$I$64),MATCH(DATEDIF(D14,DATE($X$4,$W$4,$V$4),"m"),CCTT!$A$4:$A$64,0),0)),CCTT!$B$3:$E$3),LOOKUP(2,1/(I14&gt;=INDEX(IF(E14="x",CCTT!$B$70:$E$93,CCTT!$F$70:$I$93),MATCH(DATEDIF(D14,DATE($X$4,$W$4,$V$4),"m"),CCTT!$A$70:$A$93,0),0)),CCTT!B$69:E$69))</f>
        <v>bt</v>
      </c>
      <c r="K14" s="146" t="str">
        <f>IF(DATEDIF(D14,DATE($X$4,$W$4,$V$4),"m")&lt;24,LOOKUP(2,1/(G14&gt;=INDEX(IF(E14="x",CNTCC!$B$4:$F$134,CNTCC!$F$4),MATCH(I14,CNTCC!$A$4:$A$134,0),0)),CNTCC!$B$3:$F$3),IF(AND(DATEDIF(D14,DATE($X$4,$W$4,$V$4),"m")&gt;=24,DATEDIF(D14,DATE($X$4,$W$4,$V$4),"m")&lt;=60),LOOKUP(2,1/(G14&gt;=INDEX(IF(E14="x",CNTCC!$B$141:$F$251,CNTCC!$G$141:$K$251),MATCH(I14,CNTCC!$A$141:$A$251,0),0)),CNTCC!$B$140:$F$140),0))</f>
        <v>bt</v>
      </c>
      <c r="L14" s="145" t="s">
        <v>22</v>
      </c>
      <c r="M14" s="145" t="s">
        <v>22</v>
      </c>
      <c r="N14" s="145" t="s">
        <v>22</v>
      </c>
      <c r="O14" s="145" t="s">
        <v>22</v>
      </c>
      <c r="P14" s="145" t="s">
        <v>22</v>
      </c>
      <c r="Q14" s="145" t="s">
        <v>22</v>
      </c>
      <c r="R14" s="147" t="s">
        <v>23</v>
      </c>
      <c r="S14" s="148" t="str">
        <f t="shared" si="0"/>
        <v>Nguyễn Hoàng</v>
      </c>
      <c r="T14" s="148">
        <f t="shared" si="1"/>
        <v>38</v>
      </c>
      <c r="U14" s="148">
        <f t="shared" si="2"/>
        <v>15.731100045269354</v>
      </c>
      <c r="Y14" s="148">
        <f>SUM(AI10:AK10)</f>
        <v>19</v>
      </c>
    </row>
    <row r="15" spans="1:37" s="148" customFormat="1" ht="16.8">
      <c r="A15" s="138">
        <v>6</v>
      </c>
      <c r="B15" s="139" t="s">
        <v>311</v>
      </c>
      <c r="C15" s="149" t="s">
        <v>312</v>
      </c>
      <c r="D15" s="151">
        <v>45153</v>
      </c>
      <c r="E15" s="142" t="s">
        <v>189</v>
      </c>
      <c r="F15" s="143"/>
      <c r="G15" s="144">
        <v>16</v>
      </c>
      <c r="H15" s="145" t="str">
        <f>IF(DATEDIF(D15,DATE($X$4,$W$4,$V$4),"m")&lt;=60,LOOKUP(2,1/(G15&gt;=INDEX(IF(E15="x",CNTT!$B$4:$E$64,CNTT!$F$4:$I$64),MATCH(DATEDIF(D15,DATE($X$4,$W$4,$V$4),"m"),CNTT!$A$4:$A$64,0),0)),CNTT!$B$3:$E$3),LOOKUP(2,1/(G15&gt;=INDEX(IF(E15="x",CNTT!$B$70:$E$93,CNTT!$F$70:$I$93),MATCH(DATEDIF(D15,DATE($X$4,$W$4,$V$4),"m"),CNTT!$A$70:$A$93,0),0)),CNTT!$B$69:$E$69))</f>
        <v>bt</v>
      </c>
      <c r="I15" s="145">
        <v>101</v>
      </c>
      <c r="J15" s="146" t="str">
        <f>IF(DATEDIF(D15,DATE($X$4,$W$4,$V$4),"m")&lt;=60,LOOKUP(2,1/(I15&gt;=INDEX(IF(E15="x",CCTT!$B$4:$E$64,CCTT!$F$4:$I$64),MATCH(DATEDIF(D15,DATE($X$4,$W$4,$V$4),"m"),CCTT!$A$4:$A$64,0),0)),CCTT!$B$3:$E$3),LOOKUP(2,1/(I15&gt;=INDEX(IF(E15="x",CCTT!$B$70:$E$93,CCTT!$F$70:$I$93),MATCH(DATEDIF(D15,DATE($X$4,$W$4,$V$4),"m"),CCTT!$A$70:$A$93,0),0)),CCTT!B$69:E$69))</f>
        <v>bt</v>
      </c>
      <c r="K15" s="146" t="str">
        <f>IF(DATEDIF(D15,DATE($X$4,$W$4,$V$4),"m")&lt;24,LOOKUP(2,1/(G15&gt;=INDEX(IF(E15="x",CNTCC!$B$4:$F$134,CNTCC!$F$4),MATCH(I15,CNTCC!$A$4:$A$134,0),0)),CNTCC!$B$3:$F$3),IF(AND(DATEDIF(D15,DATE($X$4,$W$4,$V$4),"m")&gt;=24,DATEDIF(D15,DATE($X$4,$W$4,$V$4),"m")&lt;=60),LOOKUP(2,1/(G15&gt;=INDEX(IF(E15="x",CNTCC!$B$141:$F$251,CNTCC!$G$141:$K$251),MATCH(I15,CNTCC!$A$141:$A$251,0),0)),CNTCC!$B$140:$F$140),0))</f>
        <v>bt</v>
      </c>
      <c r="L15" s="145" t="s">
        <v>22</v>
      </c>
      <c r="M15" s="145" t="s">
        <v>22</v>
      </c>
      <c r="N15" s="145" t="s">
        <v>22</v>
      </c>
      <c r="O15" s="145" t="s">
        <v>22</v>
      </c>
      <c r="P15" s="145" t="s">
        <v>22</v>
      </c>
      <c r="Q15" s="145" t="s">
        <v>22</v>
      </c>
      <c r="R15" s="147" t="s">
        <v>23</v>
      </c>
      <c r="S15" s="148" t="str">
        <f t="shared" si="0"/>
        <v>Phan</v>
      </c>
      <c r="T15" s="148">
        <f t="shared" si="1"/>
        <v>36</v>
      </c>
      <c r="U15" s="148">
        <f t="shared" si="2"/>
        <v>15.684736790510733</v>
      </c>
    </row>
    <row r="16" spans="1:37" s="148" customFormat="1" ht="16.8">
      <c r="A16" s="138">
        <v>7</v>
      </c>
      <c r="B16" s="139" t="s">
        <v>313</v>
      </c>
      <c r="C16" s="149" t="s">
        <v>314</v>
      </c>
      <c r="D16" s="151">
        <v>45084</v>
      </c>
      <c r="E16" s="142" t="s">
        <v>189</v>
      </c>
      <c r="F16" s="143"/>
      <c r="G16" s="144">
        <v>14.9</v>
      </c>
      <c r="H16" s="145" t="str">
        <f>IF(DATEDIF(D16,DATE($X$4,$W$4,$V$4),"m")&lt;=60,LOOKUP(2,1/(G16&gt;=INDEX(IF(E16="x",CNTT!$B$4:$E$64,CNTT!$F$4:$I$64),MATCH(DATEDIF(D16,DATE($X$4,$W$4,$V$4),"m"),CNTT!$A$4:$A$64,0),0)),CNTT!$B$3:$E$3),LOOKUP(2,1/(G16&gt;=INDEX(IF(E16="x",CNTT!$B$70:$E$93,CNTT!$F$70:$I$93),MATCH(DATEDIF(D16,DATE($X$4,$W$4,$V$4),"m"),CNTT!$A$70:$A$93,0),0)),CNTT!$B$69:$E$69))</f>
        <v>bt</v>
      </c>
      <c r="I16" s="145">
        <v>94</v>
      </c>
      <c r="J16" s="146" t="str">
        <f>IF(DATEDIF(D16,DATE($X$4,$W$4,$V$4),"m")&lt;=60,LOOKUP(2,1/(I16&gt;=INDEX(IF(E16="x",CCTT!$B$4:$E$64,CCTT!$F$4:$I$64),MATCH(DATEDIF(D16,DATE($X$4,$W$4,$V$4),"m"),CCTT!$A$4:$A$64,0),0)),CCTT!$B$3:$E$3),LOOKUP(2,1/(I16&gt;=INDEX(IF(E16="x",CCTT!$B$70:$E$93,CCTT!$F$70:$I$93),MATCH(DATEDIF(D16,DATE($X$4,$W$4,$V$4),"m"),CCTT!$A$70:$A$93,0),0)),CCTT!B$69:E$69))</f>
        <v>bt</v>
      </c>
      <c r="K16" s="146" t="str">
        <f>IF(DATEDIF(D16,DATE($X$4,$W$4,$V$4),"m")&lt;24,LOOKUP(2,1/(G16&gt;=INDEX(IF(E16="x",CNTCC!$B$4:$F$134,CNTCC!$F$4),MATCH(I16,CNTCC!$A$4:$A$134,0),0)),CNTCC!$B$3:$F$3),IF(AND(DATEDIF(D16,DATE($X$4,$W$4,$V$4),"m")&gt;=24,DATEDIF(D16,DATE($X$4,$W$4,$V$4),"m")&lt;=60),LOOKUP(2,1/(G16&gt;=INDEX(IF(E16="x",CNTCC!$B$141:$F$251,CNTCC!$G$141:$K$251),MATCH(I16,CNTCC!$A$141:$A$251,0),0)),CNTCC!$B$140:$F$140),0))</f>
        <v>bt</v>
      </c>
      <c r="L16" s="145" t="s">
        <v>22</v>
      </c>
      <c r="M16" s="145" t="s">
        <v>22</v>
      </c>
      <c r="N16" s="145" t="s">
        <v>22</v>
      </c>
      <c r="O16" s="145" t="s">
        <v>22</v>
      </c>
      <c r="P16" s="145" t="s">
        <v>22</v>
      </c>
      <c r="Q16" s="145" t="s">
        <v>22</v>
      </c>
      <c r="R16" s="147" t="s">
        <v>23</v>
      </c>
      <c r="S16" s="148" t="str">
        <f t="shared" si="0"/>
        <v>Lê Gia</v>
      </c>
      <c r="T16" s="148">
        <f t="shared" si="1"/>
        <v>38</v>
      </c>
      <c r="U16" s="148">
        <f t="shared" si="2"/>
        <v>16.862833861475782</v>
      </c>
    </row>
    <row r="17" spans="1:21" s="148" customFormat="1" ht="16.8">
      <c r="A17" s="138">
        <v>8</v>
      </c>
      <c r="B17" s="152" t="s">
        <v>315</v>
      </c>
      <c r="C17" s="153" t="s">
        <v>164</v>
      </c>
      <c r="D17" s="151">
        <v>45060</v>
      </c>
      <c r="E17" s="142"/>
      <c r="F17" s="150" t="s">
        <v>189</v>
      </c>
      <c r="G17" s="144">
        <v>11.7</v>
      </c>
      <c r="H17" s="155" t="s">
        <v>29</v>
      </c>
      <c r="I17" s="145">
        <v>89</v>
      </c>
      <c r="J17" s="156" t="str">
        <f>IF(DATEDIF(D17,DATE($X$4,$W$4,$V$4),"m")&lt;=60,LOOKUP(2,1/(I17&gt;=INDEX(IF(E17="x",CCTT!$B$4:$E$64,CCTT!$F$4:$I$64),MATCH(DATEDIF(D17,DATE($X$4,$W$4,$V$4),"m"),CCTT!$A$4:$A$64,0),0)),CCTT!$B$3:$E$3),LOOKUP(2,1/(I17&gt;=INDEX(IF(E17="x",CCTT!$B$70:$E$93,CCTT!$F$70:$I$93),MATCH(DATEDIF(D17,DATE($X$4,$W$4,$V$4),"m"),CCTT!$A$70:$A$93,0),0)),CCTT!B$69:E$69))</f>
        <v>SDDTTC</v>
      </c>
      <c r="K17" s="156" t="s">
        <v>35</v>
      </c>
      <c r="L17" s="145" t="s">
        <v>22</v>
      </c>
      <c r="M17" s="145" t="s">
        <v>22</v>
      </c>
      <c r="N17" s="145" t="s">
        <v>22</v>
      </c>
      <c r="O17" s="145" t="s">
        <v>22</v>
      </c>
      <c r="P17" s="145" t="s">
        <v>22</v>
      </c>
      <c r="Q17" s="145" t="s">
        <v>22</v>
      </c>
      <c r="R17" s="147" t="s">
        <v>57</v>
      </c>
      <c r="S17" s="148" t="str">
        <f t="shared" si="0"/>
        <v xml:space="preserve">Đặng Hoàng </v>
      </c>
      <c r="T17" s="148">
        <f t="shared" si="1"/>
        <v>39</v>
      </c>
      <c r="U17" s="148">
        <f t="shared" si="2"/>
        <v>14.770862264865546</v>
      </c>
    </row>
    <row r="18" spans="1:21" s="148" customFormat="1" ht="16.8">
      <c r="A18" s="138">
        <v>9</v>
      </c>
      <c r="B18" s="139" t="s">
        <v>169</v>
      </c>
      <c r="C18" s="149" t="s">
        <v>155</v>
      </c>
      <c r="D18" s="154">
        <v>45025</v>
      </c>
      <c r="E18" s="142" t="s">
        <v>189</v>
      </c>
      <c r="F18" s="150"/>
      <c r="G18" s="144">
        <v>13.6</v>
      </c>
      <c r="H18" s="145" t="str">
        <f>IF(DATEDIF(D18,DATE($X$4,$W$4,$V$4),"m")&lt;=60,LOOKUP(2,1/(G18&gt;=INDEX(IF(E18="x",CNTT!$B$4:$E$64,CNTT!$F$4:$I$64),MATCH(DATEDIF(D18,DATE($X$4,$W$4,$V$4),"m"),CNTT!$A$4:$A$64,0),0)),CNTT!$B$3:$E$3),LOOKUP(2,1/(G18&gt;=INDEX(IF(E18="x",CNTT!$B$70:$E$93,CNTT!$F$70:$I$93),MATCH(DATEDIF(D18,DATE($X$4,$W$4,$V$4),"m"),CNTT!$A$70:$A$93,0),0)),CNTT!$B$69:$E$69))</f>
        <v>bt</v>
      </c>
      <c r="I18" s="145">
        <v>94</v>
      </c>
      <c r="J18" s="146" t="str">
        <f>IF(DATEDIF(D18,DATE($X$4,$W$4,$V$4),"m")&lt;=60,LOOKUP(2,1/(I18&gt;=INDEX(IF(E18="x",CCTT!$B$4:$E$64,CCTT!$F$4:$I$64),MATCH(DATEDIF(D18,DATE($X$4,$W$4,$V$4),"m"),CCTT!$A$4:$A$64,0),0)),CCTT!$B$3:$E$3),LOOKUP(2,1/(I18&gt;=INDEX(IF(E18="x",CCTT!$B$70:$E$93,CCTT!$F$70:$I$93),MATCH(DATEDIF(D18,DATE($X$4,$W$4,$V$4),"m"),CCTT!$A$70:$A$93,0),0)),CCTT!B$69:E$69))</f>
        <v>bt</v>
      </c>
      <c r="K18" s="146" t="str">
        <f>IF(DATEDIF(D18,DATE($X$4,$W$4,$V$4),"m")&lt;24,LOOKUP(2,1/(G18&gt;=INDEX(IF(E18="x",CNTCC!$B$4:$F$134,CNTCC!$F$4),MATCH(I18,CNTCC!$A$4:$A$134,0),0)),CNTCC!$B$3:$F$3),IF(AND(DATEDIF(D18,DATE($X$4,$W$4,$V$4),"m")&gt;=24,DATEDIF(D18,DATE($X$4,$W$4,$V$4),"m")&lt;=60),LOOKUP(2,1/(G18&gt;=INDEX(IF(E18="x",CNTCC!$B$141:$F$251,CNTCC!$G$141:$K$251),MATCH(I18,CNTCC!$A$141:$A$251,0),0)),CNTCC!$B$140:$F$140),0))</f>
        <v>bt</v>
      </c>
      <c r="L18" s="145" t="s">
        <v>22</v>
      </c>
      <c r="M18" s="145" t="s">
        <v>22</v>
      </c>
      <c r="N18" s="145" t="s">
        <v>22</v>
      </c>
      <c r="O18" s="145" t="s">
        <v>22</v>
      </c>
      <c r="P18" s="145" t="s">
        <v>22</v>
      </c>
      <c r="Q18" s="145" t="s">
        <v>22</v>
      </c>
      <c r="R18" s="147" t="s">
        <v>23</v>
      </c>
      <c r="S18" s="148" t="str">
        <f t="shared" si="0"/>
        <v>Nguyễn Minh</v>
      </c>
      <c r="T18" s="148">
        <f t="shared" si="1"/>
        <v>40</v>
      </c>
      <c r="U18" s="148">
        <f t="shared" si="2"/>
        <v>15.391579900407425</v>
      </c>
    </row>
    <row r="19" spans="1:21" s="148" customFormat="1" ht="16.8">
      <c r="A19" s="138">
        <v>10</v>
      </c>
      <c r="B19" s="139" t="s">
        <v>316</v>
      </c>
      <c r="C19" s="140" t="s">
        <v>317</v>
      </c>
      <c r="D19" s="151">
        <v>45349</v>
      </c>
      <c r="E19" s="142" t="s">
        <v>189</v>
      </c>
      <c r="F19" s="150"/>
      <c r="G19" s="144">
        <v>11.1</v>
      </c>
      <c r="H19" s="145" t="str">
        <f>IF(DATEDIF(D19,DATE($X$4,$W$4,$V$4),"m")&lt;=60,LOOKUP(2,1/(G19&gt;=INDEX(IF(E19="x",CNTT!$B$4:$E$64,CNTT!$F$4:$I$64),MATCH(DATEDIF(D19,DATE($X$4,$W$4,$V$4),"m"),CNTT!$A$4:$A$64,0),0)),CNTT!$B$3:$E$3),LOOKUP(2,1/(G19&gt;=INDEX(IF(E19="x",CNTT!$B$70:$E$93,CNTT!$F$70:$I$93),MATCH(DATEDIF(D19,DATE($X$4,$W$4,$V$4),"m"),CNTT!$A$70:$A$93,0),0)),CNTT!$B$69:$E$69))</f>
        <v>bt</v>
      </c>
      <c r="I19" s="145">
        <v>89</v>
      </c>
      <c r="J19" s="146" t="str">
        <f>IF(DATEDIF(D19,DATE($X$4,$W$4,$V$4),"m")&lt;=60,LOOKUP(2,1/(I19&gt;=INDEX(IF(E19="x",CCTT!$B$4:$E$64,CCTT!$F$4:$I$64),MATCH(DATEDIF(D19,DATE($X$4,$W$4,$V$4),"m"),CCTT!$A$4:$A$64,0),0)),CCTT!$B$3:$E$3),LOOKUP(2,1/(I19&gt;=INDEX(IF(E19="x",CCTT!$B$70:$E$93,CCTT!$F$70:$I$93),MATCH(DATEDIF(D19,DATE($X$4,$W$4,$V$4),"m"),CCTT!$A$70:$A$93,0),0)),CCTT!B$69:E$69))</f>
        <v>bt</v>
      </c>
      <c r="K19" s="146" t="str">
        <f>IF(DATEDIF(D19,DATE($X$4,$W$4,$V$4),"m")&lt;24,LOOKUP(2,1/(G19&gt;=INDEX(IF(E19="x",CNTCC!$B$4:$F$134,CNTCC!$F$4),MATCH(I19,CNTCC!$A$4:$A$134,0),0)),CNTCC!$B$3:$F$3),IF(AND(DATEDIF(D19,DATE($X$4,$W$4,$V$4),"m")&gt;=24,DATEDIF(D19,DATE($X$4,$W$4,$V$4),"m")&lt;=60),LOOKUP(2,1/(G19&gt;=INDEX(IF(E19="x",CNTCC!$B$141:$F$251,CNTCC!$G$141:$K$251),MATCH(I19,CNTCC!$A$141:$A$251,0),0)),CNTCC!$B$140:$F$140),0))</f>
        <v>bt</v>
      </c>
      <c r="L19" s="145" t="s">
        <v>22</v>
      </c>
      <c r="M19" s="145" t="s">
        <v>22</v>
      </c>
      <c r="N19" s="145" t="s">
        <v>22</v>
      </c>
      <c r="O19" s="145" t="s">
        <v>22</v>
      </c>
      <c r="P19" s="145" t="s">
        <v>22</v>
      </c>
      <c r="Q19" s="145" t="s">
        <v>22</v>
      </c>
      <c r="R19" s="147" t="s">
        <v>23</v>
      </c>
      <c r="S19" s="148" t="str">
        <f t="shared" si="0"/>
        <v>Lê Phước Anh</v>
      </c>
      <c r="T19" s="148">
        <f t="shared" si="1"/>
        <v>30</v>
      </c>
      <c r="U19" s="148">
        <f t="shared" si="2"/>
        <v>14.013382148718595</v>
      </c>
    </row>
    <row r="20" spans="1:21" s="148" customFormat="1" ht="16.8">
      <c r="A20" s="138">
        <v>11</v>
      </c>
      <c r="B20" s="139" t="s">
        <v>318</v>
      </c>
      <c r="C20" s="140" t="s">
        <v>319</v>
      </c>
      <c r="D20" s="151">
        <v>45254</v>
      </c>
      <c r="E20" s="142"/>
      <c r="F20" s="150" t="s">
        <v>189</v>
      </c>
      <c r="G20" s="144">
        <v>13.6</v>
      </c>
      <c r="H20" s="145" t="str">
        <f>IF(DATEDIF(D20,DATE($X$4,$W$4,$V$4),"m")&lt;=60,LOOKUP(2,1/(G20&gt;=INDEX(IF(E20="x",CNTT!$B$4:$E$64,CNTT!$F$4:$I$64),MATCH(DATEDIF(D20,DATE($X$4,$W$4,$V$4),"m"),CNTT!$A$4:$A$64,0),0)),CNTT!$B$3:$E$3),LOOKUP(2,1/(G20&gt;=INDEX(IF(E20="x",CNTT!$B$70:$E$93,CNTT!$F$70:$I$93),MATCH(DATEDIF(D20,DATE($X$4,$W$4,$V$4),"m"),CNTT!$A$70:$A$93,0),0)),CNTT!$B$69:$E$69))</f>
        <v>bt</v>
      </c>
      <c r="I20" s="145">
        <v>93</v>
      </c>
      <c r="J20" s="146" t="str">
        <f>IF(DATEDIF(D20,DATE($X$4,$W$4,$V$4),"m")&lt;=60,LOOKUP(2,1/(I20&gt;=INDEX(IF(E20="x",CCTT!$B$4:$E$64,CCTT!$F$4:$I$64),MATCH(DATEDIF(D20,DATE($X$4,$W$4,$V$4),"m"),CCTT!$A$4:$A$64,0),0)),CCTT!$B$3:$E$3),LOOKUP(2,1/(I20&gt;=INDEX(IF(E20="x",CCTT!$B$70:$E$93,CCTT!$F$70:$I$93),MATCH(DATEDIF(D20,DATE($X$4,$W$4,$V$4),"m"),CCTT!$A$70:$A$93,0),0)),CCTT!B$69:E$69))</f>
        <v>bt</v>
      </c>
      <c r="K20" s="146" t="str">
        <f>IF(DATEDIF(D20,DATE($X$4,$W$4,$V$4),"m")&lt;24,LOOKUP(2,1/(G20&gt;=INDEX(IF(E20="x",CNTCC!$B$4:$F$134,CNTCC!$F$4),MATCH(I20,CNTCC!$A$4:$A$134,0),0)),CNTCC!$B$3:$F$3),IF(AND(DATEDIF(D20,DATE($X$4,$W$4,$V$4),"m")&gt;=24,DATEDIF(D20,DATE($X$4,$W$4,$V$4),"m")&lt;=60),LOOKUP(2,1/(G20&gt;=INDEX(IF(E20="x",CNTCC!$B$141:$F$251,CNTCC!$G$141:$K$251),MATCH(I20,CNTCC!$A$141:$A$251,0),0)),CNTCC!$B$140:$F$140),0))</f>
        <v>bt</v>
      </c>
      <c r="L20" s="145" t="s">
        <v>22</v>
      </c>
      <c r="M20" s="145" t="s">
        <v>22</v>
      </c>
      <c r="N20" s="145" t="s">
        <v>22</v>
      </c>
      <c r="O20" s="145" t="s">
        <v>22</v>
      </c>
      <c r="P20" s="155" t="s">
        <v>437</v>
      </c>
      <c r="Q20" s="145" t="s">
        <v>22</v>
      </c>
      <c r="R20" s="147" t="s">
        <v>57</v>
      </c>
      <c r="S20" s="148" t="str">
        <f t="shared" si="0"/>
        <v>Nguyễn Tường Thanh</v>
      </c>
      <c r="T20" s="148">
        <f t="shared" si="1"/>
        <v>33</v>
      </c>
      <c r="U20" s="148">
        <f t="shared" si="2"/>
        <v>15.724361197826337</v>
      </c>
    </row>
    <row r="21" spans="1:21" s="148" customFormat="1" ht="16.8">
      <c r="A21" s="138">
        <v>12</v>
      </c>
      <c r="B21" s="139" t="s">
        <v>320</v>
      </c>
      <c r="C21" s="140" t="s">
        <v>197</v>
      </c>
      <c r="D21" s="151">
        <v>45391</v>
      </c>
      <c r="E21" s="142"/>
      <c r="F21" s="150" t="s">
        <v>189</v>
      </c>
      <c r="G21" s="144">
        <v>12</v>
      </c>
      <c r="H21" s="145" t="str">
        <f>IF(DATEDIF(D21,DATE($X$4,$W$4,$V$4),"m")&lt;=60,LOOKUP(2,1/(G21&gt;=INDEX(IF(E21="x",CNTT!$B$4:$E$64,CNTT!$F$4:$I$64),MATCH(DATEDIF(D21,DATE($X$4,$W$4,$V$4),"m"),CNTT!$A$4:$A$64,0),0)),CNTT!$B$3:$E$3),LOOKUP(2,1/(G21&gt;=INDEX(IF(E21="x",CNTT!$B$70:$E$93,CNTT!$F$70:$I$93),MATCH(DATEDIF(D21,DATE($X$4,$W$4,$V$4),"m"),CNTT!$A$70:$A$93,0),0)),CNTT!$B$69:$E$69))</f>
        <v>bt</v>
      </c>
      <c r="I21" s="145">
        <v>93</v>
      </c>
      <c r="J21" s="146" t="str">
        <f>IF(DATEDIF(D21,DATE($X$4,$W$4,$V$4),"m")&lt;=60,LOOKUP(2,1/(I21&gt;=INDEX(IF(E21="x",CCTT!$B$4:$E$64,CCTT!$F$4:$I$64),MATCH(DATEDIF(D21,DATE($X$4,$W$4,$V$4),"m"),CCTT!$A$4:$A$64,0),0)),CCTT!$B$3:$E$3),LOOKUP(2,1/(I21&gt;=INDEX(IF(E21="x",CCTT!$B$70:$E$93,CCTT!$F$70:$I$93),MATCH(DATEDIF(D21,DATE($X$4,$W$4,$V$4),"m"),CCTT!$A$70:$A$93,0),0)),CCTT!B$69:E$69))</f>
        <v>bt</v>
      </c>
      <c r="K21" s="146" t="str">
        <f>IF(DATEDIF(D21,DATE($X$4,$W$4,$V$4),"m")&lt;24,LOOKUP(2,1/(G21&gt;=INDEX(IF(E21="x",CNTCC!$B$4:$F$134,CNTCC!$F$4),MATCH(I21,CNTCC!$A$4:$A$134,0),0)),CNTCC!$B$3:$F$3),IF(AND(DATEDIF(D21,DATE($X$4,$W$4,$V$4),"m")&gt;=24,DATEDIF(D21,DATE($X$4,$W$4,$V$4),"m")&lt;=60),LOOKUP(2,1/(G21&gt;=INDEX(IF(E21="x",CNTCC!$B$141:$F$251,CNTCC!$G$141:$K$251),MATCH(I21,CNTCC!$A$141:$A$251,0),0)),CNTCC!$B$140:$F$140),0))</f>
        <v>bt</v>
      </c>
      <c r="L21" s="145" t="s">
        <v>22</v>
      </c>
      <c r="M21" s="145" t="s">
        <v>22</v>
      </c>
      <c r="N21" s="145" t="s">
        <v>22</v>
      </c>
      <c r="O21" s="145" t="s">
        <v>22</v>
      </c>
      <c r="P21" s="145" t="s">
        <v>22</v>
      </c>
      <c r="Q21" s="145" t="s">
        <v>22</v>
      </c>
      <c r="R21" s="147" t="s">
        <v>23</v>
      </c>
      <c r="S21" s="148" t="str">
        <f t="shared" si="0"/>
        <v>Trần Phạm Hoàng</v>
      </c>
      <c r="T21" s="148">
        <f t="shared" si="1"/>
        <v>28</v>
      </c>
      <c r="U21" s="148">
        <f t="shared" si="2"/>
        <v>13.874436351023238</v>
      </c>
    </row>
    <row r="22" spans="1:21" s="148" customFormat="1" ht="16.8">
      <c r="A22" s="138">
        <v>13</v>
      </c>
      <c r="B22" s="139" t="s">
        <v>321</v>
      </c>
      <c r="C22" s="140" t="s">
        <v>322</v>
      </c>
      <c r="D22" s="151">
        <v>45022</v>
      </c>
      <c r="E22" s="142"/>
      <c r="F22" s="150" t="s">
        <v>189</v>
      </c>
      <c r="G22" s="144">
        <v>14.3</v>
      </c>
      <c r="H22" s="145" t="str">
        <f>IF(DATEDIF(D22,DATE($X$4,$W$4,$V$4),"m")&lt;=60,LOOKUP(2,1/(G22&gt;=INDEX(IF(E22="x",CNTT!$B$4:$E$64,CNTT!$F$4:$I$64),MATCH(DATEDIF(D22,DATE($X$4,$W$4,$V$4),"m"),CNTT!$A$4:$A$64,0),0)),CNTT!$B$3:$E$3),LOOKUP(2,1/(G22&gt;=INDEX(IF(E22="x",CNTT!$B$70:$E$93,CNTT!$F$70:$I$93),MATCH(DATEDIF(D22,DATE($X$4,$W$4,$V$4),"m"),CNTT!$A$70:$A$93,0),0)),CNTT!$B$69:$E$69))</f>
        <v>bt</v>
      </c>
      <c r="I22" s="145">
        <v>98</v>
      </c>
      <c r="J22" s="146" t="str">
        <f>IF(DATEDIF(D22,DATE($X$4,$W$4,$V$4),"m")&lt;=60,LOOKUP(2,1/(I22&gt;=INDEX(IF(E22="x",CCTT!$B$4:$E$64,CCTT!$F$4:$I$64),MATCH(DATEDIF(D22,DATE($X$4,$W$4,$V$4),"m"),CCTT!$A$4:$A$64,0),0)),CCTT!$B$3:$E$3),LOOKUP(2,1/(I22&gt;=INDEX(IF(E22="x",CCTT!$B$70:$E$93,CCTT!$F$70:$I$93),MATCH(DATEDIF(D22,DATE($X$4,$W$4,$V$4),"m"),CCTT!$A$70:$A$93,0),0)),CCTT!B$69:E$69))</f>
        <v>bt</v>
      </c>
      <c r="K22" s="146" t="str">
        <f>IF(DATEDIF(D22,DATE($X$4,$W$4,$V$4),"m")&lt;24,LOOKUP(2,1/(G22&gt;=INDEX(IF(E22="x",CNTCC!$B$4:$F$134,CNTCC!$F$4),MATCH(I22,CNTCC!$A$4:$A$134,0),0)),CNTCC!$B$3:$F$3),IF(AND(DATEDIF(D22,DATE($X$4,$W$4,$V$4),"m")&gt;=24,DATEDIF(D22,DATE($X$4,$W$4,$V$4),"m")&lt;=60),LOOKUP(2,1/(G22&gt;=INDEX(IF(E22="x",CNTCC!$B$141:$F$251,CNTCC!$G$141:$K$251),MATCH(I22,CNTCC!$A$141:$A$251,0),0)),CNTCC!$B$140:$F$140),0))</f>
        <v>bt</v>
      </c>
      <c r="L22" s="145" t="s">
        <v>22</v>
      </c>
      <c r="M22" s="145" t="s">
        <v>22</v>
      </c>
      <c r="N22" s="145" t="s">
        <v>22</v>
      </c>
      <c r="O22" s="145" t="s">
        <v>22</v>
      </c>
      <c r="P22" s="145" t="s">
        <v>22</v>
      </c>
      <c r="Q22" s="145" t="s">
        <v>22</v>
      </c>
      <c r="R22" s="147" t="s">
        <v>23</v>
      </c>
      <c r="S22" s="148" t="str">
        <f t="shared" si="0"/>
        <v xml:space="preserve">Đinh Lê Khánh </v>
      </c>
      <c r="T22" s="148">
        <f t="shared" si="1"/>
        <v>40</v>
      </c>
      <c r="U22" s="148">
        <f t="shared" si="2"/>
        <v>14.889629321116203</v>
      </c>
    </row>
    <row r="23" spans="1:21" s="148" customFormat="1" ht="16.8">
      <c r="A23" s="138">
        <v>14</v>
      </c>
      <c r="B23" s="139" t="s">
        <v>323</v>
      </c>
      <c r="C23" s="140" t="s">
        <v>322</v>
      </c>
      <c r="D23" s="151">
        <v>45088</v>
      </c>
      <c r="E23" s="142"/>
      <c r="F23" s="150" t="s">
        <v>189</v>
      </c>
      <c r="G23" s="144">
        <v>13.6</v>
      </c>
      <c r="H23" s="145" t="str">
        <f>IF(DATEDIF(D23,DATE($X$4,$W$4,$V$4),"m")&lt;=60,LOOKUP(2,1/(G23&gt;=INDEX(IF(E23="x",CNTT!$B$4:$E$64,CNTT!$F$4:$I$64),MATCH(DATEDIF(D23,DATE($X$4,$W$4,$V$4),"m"),CNTT!$A$4:$A$64,0),0)),CNTT!$B$3:$E$3),LOOKUP(2,1/(G23&gt;=INDEX(IF(E23="x",CNTT!$B$70:$E$93,CNTT!$F$70:$I$93),MATCH(DATEDIF(D23,DATE($X$4,$W$4,$V$4),"m"),CNTT!$A$70:$A$93,0),0)),CNTT!$B$69:$E$69))</f>
        <v>bt</v>
      </c>
      <c r="I23" s="145">
        <v>93</v>
      </c>
      <c r="J23" s="146" t="str">
        <f>IF(DATEDIF(D23,DATE($X$4,$W$4,$V$4),"m")&lt;=60,LOOKUP(2,1/(I23&gt;=INDEX(IF(E23="x",CCTT!$B$4:$E$64,CCTT!$F$4:$I$64),MATCH(DATEDIF(D23,DATE($X$4,$W$4,$V$4),"m"),CCTT!$A$4:$A$64,0),0)),CCTT!$B$3:$E$3),LOOKUP(2,1/(I23&gt;=INDEX(IF(E23="x",CCTT!$B$70:$E$93,CCTT!$F$70:$I$93),MATCH(DATEDIF(D23,DATE($X$4,$W$4,$V$4),"m"),CCTT!$A$70:$A$93,0),0)),CCTT!B$69:E$69))</f>
        <v>bt</v>
      </c>
      <c r="K23" s="146" t="str">
        <f>IF(DATEDIF(D23,DATE($X$4,$W$4,$V$4),"m")&lt;24,LOOKUP(2,1/(G23&gt;=INDEX(IF(E23="x",CNTCC!$B$4:$F$134,CNTCC!$F$4),MATCH(I23,CNTCC!$A$4:$A$134,0),0)),CNTCC!$B$3:$F$3),IF(AND(DATEDIF(D23,DATE($X$4,$W$4,$V$4),"m")&gt;=24,DATEDIF(D23,DATE($X$4,$W$4,$V$4),"m")&lt;=60),LOOKUP(2,1/(G23&gt;=INDEX(IF(E23="x",CNTCC!$B$141:$F$251,CNTCC!$G$141:$K$251),MATCH(I23,CNTCC!$A$141:$A$251,0),0)),CNTCC!$B$140:$F$140),0))</f>
        <v>bt</v>
      </c>
      <c r="L23" s="145" t="s">
        <v>22</v>
      </c>
      <c r="M23" s="145" t="s">
        <v>22</v>
      </c>
      <c r="N23" s="145" t="s">
        <v>22</v>
      </c>
      <c r="O23" s="145" t="s">
        <v>22</v>
      </c>
      <c r="P23" s="145" t="s">
        <v>22</v>
      </c>
      <c r="Q23" s="145" t="s">
        <v>22</v>
      </c>
      <c r="R23" s="147" t="s">
        <v>23</v>
      </c>
      <c r="S23" s="148" t="str">
        <f t="shared" si="0"/>
        <v>Nguyễn Minh Bảo</v>
      </c>
      <c r="T23" s="148">
        <f t="shared" si="1"/>
        <v>38</v>
      </c>
      <c r="U23" s="148">
        <f t="shared" si="2"/>
        <v>15.724361197826337</v>
      </c>
    </row>
    <row r="24" spans="1:21" s="148" customFormat="1" ht="16.8">
      <c r="A24" s="138">
        <v>15</v>
      </c>
      <c r="B24" s="139" t="s">
        <v>324</v>
      </c>
      <c r="C24" s="140" t="s">
        <v>325</v>
      </c>
      <c r="D24" s="151">
        <v>45043</v>
      </c>
      <c r="E24" s="142" t="s">
        <v>189</v>
      </c>
      <c r="F24" s="150"/>
      <c r="G24" s="144">
        <v>15.1</v>
      </c>
      <c r="H24" s="145" t="str">
        <f>IF(DATEDIF(D24,DATE($X$4,$W$4,$V$4),"m")&lt;=60,LOOKUP(2,1/(G24&gt;=INDEX(IF(E24="x",CNTT!$B$4:$E$64,CNTT!$F$4:$I$64),MATCH(DATEDIF(D24,DATE($X$4,$W$4,$V$4),"m"),CNTT!$A$4:$A$64,0),0)),CNTT!$B$3:$E$3),LOOKUP(2,1/(G24&gt;=INDEX(IF(E24="x",CNTT!$B$70:$E$93,CNTT!$F$70:$I$93),MATCH(DATEDIF(D24,DATE($X$4,$W$4,$V$4),"m"),CNTT!$A$70:$A$93,0),0)),CNTT!$B$69:$E$69))</f>
        <v>bt</v>
      </c>
      <c r="I24" s="145">
        <v>94</v>
      </c>
      <c r="J24" s="146" t="str">
        <f>IF(DATEDIF(D24,DATE($X$4,$W$4,$V$4),"m")&lt;=60,LOOKUP(2,1/(I24&gt;=INDEX(IF(E24="x",CCTT!$B$4:$E$64,CCTT!$F$4:$I$64),MATCH(DATEDIF(D24,DATE($X$4,$W$4,$V$4),"m"),CCTT!$A$4:$A$64,0),0)),CCTT!$B$3:$E$3),LOOKUP(2,1/(I24&gt;=INDEX(IF(E24="x",CCTT!$B$70:$E$93,CCTT!$F$70:$I$93),MATCH(DATEDIF(D24,DATE($X$4,$W$4,$V$4),"m"),CCTT!$A$70:$A$93,0),0)),CCTT!B$69:E$69))</f>
        <v>bt</v>
      </c>
      <c r="K24" s="146" t="str">
        <f>IF(DATEDIF(D24,DATE($X$4,$W$4,$V$4),"m")&lt;24,LOOKUP(2,1/(G24&gt;=INDEX(IF(E24="x",CNTCC!$B$4:$F$134,CNTCC!$F$4),MATCH(I24,CNTCC!$A$4:$A$134,0),0)),CNTCC!$B$3:$F$3),IF(AND(DATEDIF(D24,DATE($X$4,$W$4,$V$4),"m")&gt;=24,DATEDIF(D24,DATE($X$4,$W$4,$V$4),"m")&lt;=60),LOOKUP(2,1/(G24&gt;=INDEX(IF(E24="x",CNTCC!$B$141:$F$251,CNTCC!$G$141:$K$251),MATCH(I24,CNTCC!$A$141:$A$251,0),0)),CNTCC!$B$140:$F$140),0))</f>
        <v>bt</v>
      </c>
      <c r="L24" s="145" t="s">
        <v>22</v>
      </c>
      <c r="M24" s="145" t="s">
        <v>22</v>
      </c>
      <c r="N24" s="145" t="s">
        <v>22</v>
      </c>
      <c r="O24" s="145" t="s">
        <v>22</v>
      </c>
      <c r="P24" s="145" t="s">
        <v>22</v>
      </c>
      <c r="Q24" s="145" t="s">
        <v>22</v>
      </c>
      <c r="R24" s="147" t="s">
        <v>23</v>
      </c>
      <c r="S24" s="148" t="str">
        <f t="shared" si="0"/>
        <v>Đinh Viết</v>
      </c>
      <c r="T24" s="148">
        <f t="shared" si="1"/>
        <v>40</v>
      </c>
      <c r="U24" s="148">
        <f t="shared" si="2"/>
        <v>17.089180624717066</v>
      </c>
    </row>
    <row r="25" spans="1:21" s="148" customFormat="1" ht="16.8">
      <c r="A25" s="138">
        <v>16</v>
      </c>
      <c r="B25" s="139" t="s">
        <v>194</v>
      </c>
      <c r="C25" s="140" t="s">
        <v>326</v>
      </c>
      <c r="D25" s="151">
        <v>45142</v>
      </c>
      <c r="E25" s="142" t="s">
        <v>189</v>
      </c>
      <c r="F25" s="150"/>
      <c r="G25" s="144">
        <v>20.3</v>
      </c>
      <c r="H25" s="155" t="str">
        <f>IF(DATEDIF(D25,DATE($X$4,$W$4,$V$4),"m")&lt;=60,LOOKUP(2,1/(G25&gt;=INDEX(IF(E25="x",CNTT!$B$4:$E$64,CNTT!$F$4:$I$64),MATCH(DATEDIF(D25,DATE($X$4,$W$4,$V$4),"m"),CNTT!$A$4:$A$64,0),0)),CNTT!$B$3:$E$3),LOOKUP(2,1/(G25&gt;=INDEX(IF(E25="x",CNTT!$B$70:$E$93,CNTT!$F$70:$I$93),MATCH(DATEDIF(D25,DATE($X$4,$W$4,$V$4),"m"),CNTT!$A$70:$A$93,0),0)),CNTT!$B$69:$E$69))</f>
        <v>CNC</v>
      </c>
      <c r="I25" s="145">
        <v>101</v>
      </c>
      <c r="J25" s="146" t="str">
        <f>IF(DATEDIF(D25,DATE($X$4,$W$4,$V$4),"m")&lt;=60,LOOKUP(2,1/(I25&gt;=INDEX(IF(E25="x",CCTT!$B$4:$E$64,CCTT!$F$4:$I$64),MATCH(DATEDIF(D25,DATE($X$4,$W$4,$V$4),"m"),CCTT!$A$4:$A$64,0),0)),CCTT!$B$3:$E$3),LOOKUP(2,1/(I25&gt;=INDEX(IF(E25="x",CCTT!$B$70:$E$93,CCTT!$F$70:$I$93),MATCH(DATEDIF(D25,DATE($X$4,$W$4,$V$4),"m"),CCTT!$A$70:$A$93,0),0)),CCTT!B$69:E$69))</f>
        <v>bt</v>
      </c>
      <c r="K25" s="146" t="s">
        <v>25</v>
      </c>
      <c r="L25" s="145" t="s">
        <v>22</v>
      </c>
      <c r="M25" s="145" t="s">
        <v>22</v>
      </c>
      <c r="N25" s="145" t="s">
        <v>22</v>
      </c>
      <c r="O25" s="145" t="s">
        <v>22</v>
      </c>
      <c r="P25" s="145" t="s">
        <v>22</v>
      </c>
      <c r="Q25" s="145" t="s">
        <v>22</v>
      </c>
      <c r="R25" s="147" t="s">
        <v>23</v>
      </c>
      <c r="S25" s="148" t="str">
        <f t="shared" si="0"/>
        <v>Trần Chí</v>
      </c>
      <c r="T25" s="148">
        <f t="shared" si="1"/>
        <v>36</v>
      </c>
      <c r="U25" s="148">
        <f t="shared" si="2"/>
        <v>19.900009802960493</v>
      </c>
    </row>
    <row r="26" spans="1:21" s="148" customFormat="1" ht="16.8">
      <c r="A26" s="138">
        <v>17</v>
      </c>
      <c r="B26" s="139" t="s">
        <v>327</v>
      </c>
      <c r="C26" s="140" t="s">
        <v>203</v>
      </c>
      <c r="D26" s="151">
        <v>45161</v>
      </c>
      <c r="E26" s="142"/>
      <c r="F26" s="150" t="s">
        <v>189</v>
      </c>
      <c r="G26" s="144">
        <v>12.8</v>
      </c>
      <c r="H26" s="145" t="str">
        <f>IF(DATEDIF(D26,DATE($X$4,$W$4,$V$4),"m")&lt;=60,LOOKUP(2,1/(G26&gt;=INDEX(IF(E26="x",CNTT!$B$4:$E$64,CNTT!$F$4:$I$64),MATCH(DATEDIF(D26,DATE($X$4,$W$4,$V$4),"m"),CNTT!$A$4:$A$64,0),0)),CNTT!$B$3:$E$3),LOOKUP(2,1/(G26&gt;=INDEX(IF(E26="x",CNTT!$B$70:$E$93,CNTT!$F$70:$I$93),MATCH(DATEDIF(D26,DATE($X$4,$W$4,$V$4),"m"),CNTT!$A$70:$A$93,0),0)),CNTT!$B$69:$E$69))</f>
        <v>bt</v>
      </c>
      <c r="I26" s="145">
        <v>94</v>
      </c>
      <c r="J26" s="146" t="str">
        <f>IF(DATEDIF(D26,DATE($X$4,$W$4,$V$4),"m")&lt;=60,LOOKUP(2,1/(I26&gt;=INDEX(IF(E26="x",CCTT!$B$4:$E$64,CCTT!$F$4:$I$64),MATCH(DATEDIF(D26,DATE($X$4,$W$4,$V$4),"m"),CCTT!$A$4:$A$64,0),0)),CCTT!$B$3:$E$3),LOOKUP(2,1/(I26&gt;=INDEX(IF(E26="x",CCTT!$B$70:$E$93,CCTT!$F$70:$I$93),MATCH(DATEDIF(D26,DATE($X$4,$W$4,$V$4),"m"),CCTT!$A$70:$A$93,0),0)),CCTT!B$69:E$69))</f>
        <v>bt</v>
      </c>
      <c r="K26" s="146" t="str">
        <f>IF(DATEDIF(D26,DATE($X$4,$W$4,$V$4),"m")&lt;24,LOOKUP(2,1/(G26&gt;=INDEX(IF(E26="x",CNTCC!$B$4:$F$134,CNTCC!$F$4),MATCH(I26,CNTCC!$A$4:$A$134,0),0)),CNTCC!$B$3:$F$3),IF(AND(DATEDIF(D26,DATE($X$4,$W$4,$V$4),"m")&gt;=24,DATEDIF(D26,DATE($X$4,$W$4,$V$4),"m")&lt;=60),LOOKUP(2,1/(G26&gt;=INDEX(IF(E26="x",CNTCC!$B$141:$F$251,CNTCC!$G$141:$K$251),MATCH(I26,CNTCC!$A$141:$A$251,0),0)),CNTCC!$B$140:$F$140),0))</f>
        <v>bt</v>
      </c>
      <c r="L26" s="145" t="s">
        <v>22</v>
      </c>
      <c r="M26" s="145" t="s">
        <v>22</v>
      </c>
      <c r="N26" s="145" t="s">
        <v>22</v>
      </c>
      <c r="O26" s="145" t="s">
        <v>22</v>
      </c>
      <c r="P26" s="155" t="s">
        <v>437</v>
      </c>
      <c r="Q26" s="145" t="s">
        <v>22</v>
      </c>
      <c r="R26" s="147" t="s">
        <v>57</v>
      </c>
      <c r="S26" s="148" t="str">
        <f t="shared" si="0"/>
        <v>Nguyễn Ý Cát</v>
      </c>
      <c r="T26" s="148">
        <f t="shared" si="1"/>
        <v>36</v>
      </c>
      <c r="U26" s="148">
        <f t="shared" si="2"/>
        <v>14.486192847442283</v>
      </c>
    </row>
    <row r="27" spans="1:21" s="148" customFormat="1" ht="16.8">
      <c r="A27" s="138">
        <v>18</v>
      </c>
      <c r="B27" s="139" t="s">
        <v>328</v>
      </c>
      <c r="C27" s="140" t="s">
        <v>162</v>
      </c>
      <c r="D27" s="151">
        <v>45261</v>
      </c>
      <c r="E27" s="142" t="s">
        <v>189</v>
      </c>
      <c r="F27" s="150"/>
      <c r="G27" s="144">
        <v>10.6</v>
      </c>
      <c r="H27" s="145" t="s">
        <v>25</v>
      </c>
      <c r="I27" s="145">
        <v>87</v>
      </c>
      <c r="J27" s="146" t="str">
        <f>IF(DATEDIF(D27,DATE($X$4,$W$4,$V$4),"m")&lt;=60,LOOKUP(2,1/(I27&gt;=INDEX(IF(E27="x",CCTT!$B$4:$E$64,CCTT!$F$4:$I$64),MATCH(DATEDIF(D27,DATE($X$4,$W$4,$V$4),"m"),CCTT!$A$4:$A$64,0),0)),CCTT!$B$3:$E$3),LOOKUP(2,1/(I27&gt;=INDEX(IF(E27="x",CCTT!$B$70:$E$93,CCTT!$F$70:$I$93),MATCH(DATEDIF(D27,DATE($X$4,$W$4,$V$4),"m"),CCTT!$A$70:$A$93,0),0)),CCTT!B$69:E$69))</f>
        <v>bt</v>
      </c>
      <c r="K27" s="146" t="str">
        <f>IF(DATEDIF(D27,DATE($X$4,$W$4,$V$4),"m")&lt;24,LOOKUP(2,1/(G27&gt;=INDEX(IF(E27="x",CNTCC!$B$4:$F$134,CNTCC!$F$4),MATCH(I27,CNTCC!$A$4:$A$134,0),0)),CNTCC!$B$3:$F$3),IF(AND(DATEDIF(D27,DATE($X$4,$W$4,$V$4),"m")&gt;=24,DATEDIF(D27,DATE($X$4,$W$4,$V$4),"m")&lt;=60),LOOKUP(2,1/(G27&gt;=INDEX(IF(E27="x",CNTCC!$B$141:$F$251,CNTCC!$G$141:$K$251),MATCH(I27,CNTCC!$A$141:$A$251,0),0)),CNTCC!$B$140:$F$140),0))</f>
        <v>bt</v>
      </c>
      <c r="L27" s="145" t="s">
        <v>22</v>
      </c>
      <c r="M27" s="155" t="s">
        <v>51</v>
      </c>
      <c r="N27" s="145" t="s">
        <v>22</v>
      </c>
      <c r="O27" s="145" t="s">
        <v>22</v>
      </c>
      <c r="P27" s="145" t="s">
        <v>22</v>
      </c>
      <c r="Q27" s="145" t="s">
        <v>22</v>
      </c>
      <c r="R27" s="147" t="s">
        <v>57</v>
      </c>
      <c r="S27" s="148" t="str">
        <f t="shared" si="0"/>
        <v>Phan Ngọc Phượng</v>
      </c>
      <c r="T27" s="148">
        <f t="shared" si="1"/>
        <v>32</v>
      </c>
      <c r="U27" s="148">
        <f t="shared" si="2"/>
        <v>14.004492006870127</v>
      </c>
    </row>
    <row r="28" spans="1:21" s="148" customFormat="1" ht="16.8">
      <c r="A28" s="138">
        <v>19</v>
      </c>
      <c r="B28" s="139" t="s">
        <v>329</v>
      </c>
      <c r="C28" s="140" t="s">
        <v>330</v>
      </c>
      <c r="D28" s="151">
        <v>45126</v>
      </c>
      <c r="E28" s="142"/>
      <c r="F28" s="150" t="s">
        <v>189</v>
      </c>
      <c r="G28" s="144" t="s">
        <v>331</v>
      </c>
      <c r="H28" s="145" t="s">
        <v>25</v>
      </c>
      <c r="I28" s="145">
        <v>92</v>
      </c>
      <c r="J28" s="146" t="str">
        <f>IF(DATEDIF(D28,DATE($X$4,$W$4,$V$4),"m")&lt;=60,LOOKUP(2,1/(I28&gt;=INDEX(IF(E28="x",CCTT!$B$4:$E$64,CCTT!$F$4:$I$64),MATCH(DATEDIF(D28,DATE($X$4,$W$4,$V$4),"m"),CCTT!$A$4:$A$64,0),0)),CCTT!$B$3:$E$3),LOOKUP(2,1/(I28&gt;=INDEX(IF(E28="x",CCTT!$B$70:$E$93,CCTT!$F$70:$I$93),MATCH(DATEDIF(D28,DATE($X$4,$W$4,$V$4),"m"),CCTT!$A$70:$A$93,0),0)),CCTT!B$69:E$69))</f>
        <v>bt</v>
      </c>
      <c r="K28" s="146" t="s">
        <v>25</v>
      </c>
      <c r="L28" s="145" t="s">
        <v>22</v>
      </c>
      <c r="M28" s="145" t="s">
        <v>22</v>
      </c>
      <c r="N28" s="145" t="s">
        <v>22</v>
      </c>
      <c r="O28" s="145" t="s">
        <v>22</v>
      </c>
      <c r="P28" s="145" t="s">
        <v>22</v>
      </c>
      <c r="Q28" s="145" t="s">
        <v>22</v>
      </c>
      <c r="R28" s="147" t="s">
        <v>23</v>
      </c>
      <c r="S28" s="148" t="str">
        <f t="shared" si="0"/>
        <v>Đặng Cát Tường</v>
      </c>
      <c r="T28" s="148">
        <f t="shared" si="1"/>
        <v>37</v>
      </c>
      <c r="U28" s="148" t="e">
        <f t="shared" si="2"/>
        <v>#VALUE!</v>
      </c>
    </row>
    <row r="29" spans="1:21" ht="16.8">
      <c r="A29" s="68"/>
      <c r="B29" s="74"/>
      <c r="C29" s="69"/>
      <c r="D29" s="75"/>
      <c r="E29" s="70"/>
      <c r="F29" s="70"/>
      <c r="G29" s="70"/>
      <c r="H29" s="71"/>
      <c r="I29" s="70"/>
      <c r="J29" s="94"/>
      <c r="K29" s="94"/>
      <c r="L29" s="71"/>
      <c r="M29" s="76"/>
      <c r="N29" s="71"/>
      <c r="O29" s="71"/>
      <c r="P29" s="71"/>
      <c r="Q29" s="71"/>
      <c r="R29" s="73"/>
    </row>
    <row r="30" spans="1:21" s="3" customFormat="1">
      <c r="A30" s="93"/>
      <c r="C30" s="13"/>
      <c r="D30" s="13" t="s">
        <v>24</v>
      </c>
      <c r="E30" s="13"/>
      <c r="F30" s="13"/>
      <c r="G30" s="14"/>
      <c r="H30" s="14"/>
      <c r="I30" s="14"/>
      <c r="J30" s="14"/>
      <c r="K30" s="14"/>
      <c r="L30" s="15"/>
      <c r="M30" s="15"/>
      <c r="N30" s="15"/>
      <c r="O30" s="15"/>
      <c r="P30" s="15"/>
      <c r="Q30" s="15"/>
      <c r="R30" s="14"/>
    </row>
    <row r="31" spans="1:21" s="3" customFormat="1">
      <c r="B31" s="15"/>
      <c r="C31" s="15"/>
      <c r="D31" s="15"/>
      <c r="E31" s="15"/>
      <c r="F31" s="15"/>
      <c r="G31" s="14"/>
      <c r="H31" s="14"/>
      <c r="I31" s="14"/>
      <c r="J31" s="14"/>
      <c r="K31" s="14"/>
      <c r="L31" s="15"/>
      <c r="M31" s="15"/>
      <c r="N31" s="15"/>
      <c r="O31" s="15"/>
      <c r="P31" s="15"/>
      <c r="Q31" s="15"/>
      <c r="R31" s="14"/>
    </row>
    <row r="32" spans="1:21" s="3" customFormat="1">
      <c r="A32" s="16" t="s">
        <v>25</v>
      </c>
      <c r="C32" s="15" t="s">
        <v>26</v>
      </c>
      <c r="D32" s="15"/>
      <c r="E32" s="15"/>
      <c r="F32" s="15"/>
      <c r="G32" s="14"/>
      <c r="H32" s="14"/>
      <c r="I32" s="16" t="s">
        <v>27</v>
      </c>
      <c r="J32" s="15"/>
      <c r="K32" s="15"/>
      <c r="L32" s="15" t="s">
        <v>28</v>
      </c>
      <c r="M32" s="15"/>
      <c r="N32" s="15"/>
      <c r="O32" s="15"/>
      <c r="P32" s="15"/>
      <c r="Q32" s="15"/>
      <c r="R32" s="14"/>
    </row>
    <row r="33" spans="1:18" s="3" customFormat="1">
      <c r="A33" s="16" t="s">
        <v>29</v>
      </c>
      <c r="C33" s="15" t="s">
        <v>30</v>
      </c>
      <c r="D33" s="15"/>
      <c r="E33" s="15"/>
      <c r="F33" s="15"/>
      <c r="G33" s="14"/>
      <c r="H33" s="14"/>
      <c r="I33" s="16" t="s">
        <v>31</v>
      </c>
      <c r="J33" s="15"/>
      <c r="K33" s="15"/>
      <c r="L33" s="15" t="s">
        <v>32</v>
      </c>
      <c r="M33" s="15"/>
      <c r="N33" s="15"/>
      <c r="O33" s="15"/>
      <c r="P33" s="15"/>
      <c r="Q33" s="15"/>
      <c r="R33" s="14"/>
    </row>
    <row r="34" spans="1:18" s="3" customFormat="1">
      <c r="A34" s="16" t="s">
        <v>33</v>
      </c>
      <c r="C34" s="15" t="s">
        <v>34</v>
      </c>
      <c r="D34" s="15"/>
      <c r="E34" s="15"/>
      <c r="F34" s="15"/>
      <c r="G34" s="14"/>
      <c r="H34" s="14"/>
      <c r="I34" s="16" t="s">
        <v>35</v>
      </c>
      <c r="J34" s="15"/>
      <c r="K34" s="15"/>
      <c r="L34" s="15" t="s">
        <v>36</v>
      </c>
      <c r="M34" s="15"/>
      <c r="N34" s="15"/>
      <c r="O34" s="15"/>
      <c r="P34" s="15"/>
      <c r="Q34" s="15"/>
      <c r="R34" s="14"/>
    </row>
    <row r="35" spans="1:18" s="3" customFormat="1">
      <c r="A35" s="16" t="s">
        <v>37</v>
      </c>
      <c r="C35" s="15" t="s">
        <v>38</v>
      </c>
      <c r="D35" s="15"/>
      <c r="E35" s="15"/>
      <c r="F35" s="15"/>
      <c r="G35" s="14"/>
      <c r="H35" s="14"/>
      <c r="I35" s="16" t="s">
        <v>39</v>
      </c>
      <c r="J35" s="15"/>
      <c r="K35" s="15"/>
      <c r="L35" s="15" t="s">
        <v>40</v>
      </c>
      <c r="M35" s="15"/>
      <c r="N35" s="15"/>
      <c r="O35" s="15"/>
      <c r="P35" s="15"/>
      <c r="Q35" s="15"/>
      <c r="R35" s="14"/>
    </row>
    <row r="36" spans="1:18">
      <c r="A36" s="16" t="s">
        <v>41</v>
      </c>
      <c r="C36" s="15" t="s">
        <v>42</v>
      </c>
      <c r="D36" s="15"/>
      <c r="E36" s="15"/>
      <c r="F36" s="15"/>
      <c r="G36" s="14"/>
      <c r="H36" s="14"/>
      <c r="I36" s="16" t="s">
        <v>43</v>
      </c>
      <c r="J36" s="15"/>
      <c r="K36" s="15"/>
      <c r="L36" s="15" t="s">
        <v>44</v>
      </c>
      <c r="M36" s="15"/>
      <c r="N36" s="15"/>
      <c r="O36" s="15"/>
      <c r="P36" s="15"/>
      <c r="Q36" s="15"/>
      <c r="R36" s="14"/>
    </row>
    <row r="37" spans="1:18">
      <c r="A37" s="4" t="s">
        <v>45</v>
      </c>
      <c r="C37" s="3" t="s">
        <v>46</v>
      </c>
      <c r="I37" s="5" t="s">
        <v>47</v>
      </c>
      <c r="L37" s="4" t="s">
        <v>48</v>
      </c>
    </row>
    <row r="38" spans="1:18">
      <c r="A38" s="4" t="s">
        <v>49</v>
      </c>
      <c r="C38" s="3" t="s">
        <v>50</v>
      </c>
      <c r="I38" s="5" t="s">
        <v>51</v>
      </c>
      <c r="L38" s="4" t="s">
        <v>52</v>
      </c>
    </row>
    <row r="39" spans="1:18">
      <c r="A39" s="4" t="s">
        <v>53</v>
      </c>
      <c r="C39" s="3" t="s">
        <v>54</v>
      </c>
      <c r="I39" s="5" t="s">
        <v>55</v>
      </c>
      <c r="L39" s="4" t="s">
        <v>56</v>
      </c>
    </row>
  </sheetData>
  <autoFilter ref="A9:WWA28"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37A98-1252-4727-9A2C-7A5C423EDE9B}">
  <sheetPr>
    <tabColor rgb="FF92D050"/>
  </sheetPr>
  <dimension ref="A1:AK36"/>
  <sheetViews>
    <sheetView zoomScale="63" zoomScaleNormal="63" zoomScaleSheetLayoutView="100" workbookViewId="0">
      <pane ySplit="9" topLeftCell="A10" activePane="bottomLeft" state="frozen"/>
      <selection activeCell="T34" sqref="T34"/>
      <selection pane="bottomLeft" activeCell="I36" sqref="I36"/>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352</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16.8">
      <c r="A10" s="138">
        <v>1</v>
      </c>
      <c r="B10" s="139" t="s">
        <v>333</v>
      </c>
      <c r="C10" s="140" t="s">
        <v>167</v>
      </c>
      <c r="D10" s="141">
        <v>45174</v>
      </c>
      <c r="E10" s="142" t="s">
        <v>189</v>
      </c>
      <c r="F10" s="143"/>
      <c r="G10" s="144">
        <v>12.5</v>
      </c>
      <c r="H10" s="145" t="str">
        <f>IF(DATEDIF(D10,DATE($X$4,$W$4,$V$4),"m")&lt;=60,LOOKUP(2,1/(G10&gt;=INDEX(IF(E10="x",CNTT!$B$4:$E$64,CNTT!$F$4:$I$64),MATCH(DATEDIF(D10,DATE($X$4,$W$4,$V$4),"m"),CNTT!$A$4:$A$64,0),0)),CNTT!$B$3:$E$3),LOOKUP(2,1/(G10&gt;=INDEX(IF(E10="x",CNTT!$B$70:$E$93,CNTT!$F$70:$I$93),MATCH(DATEDIF(D10,DATE($X$4,$W$4,$V$4),"m"),CNTT!$A$70:$A$93,0),0)),CNTT!$B$69:$E$69))</f>
        <v>bt</v>
      </c>
      <c r="I10" s="145">
        <v>96</v>
      </c>
      <c r="J10" s="146" t="str">
        <f>IF(DATEDIF(D10,DATE($X$4,$W$4,$V$4),"m")&lt;=60,LOOKUP(2,1/(I10&gt;=INDEX(IF(E10="x",CCTT!$B$4:$E$64,CCTT!$F$4:$I$64),MATCH(DATEDIF(D10,DATE($X$4,$W$4,$V$4),"m"),CCTT!$A$4:$A$64,0),0)),CCTT!$B$3:$E$3),LOOKUP(2,1/(I10&gt;=INDEX(IF(E10="x",CCTT!$B$70:$E$93,CCTT!$F$70:$I$93),MATCH(DATEDIF(D10,DATE($X$4,$W$4,$V$4),"m"),CCTT!$A$70:$A$93,0),0)),CCTT!B$69:E$69))</f>
        <v>bt</v>
      </c>
      <c r="K10" s="146" t="str">
        <f>IF(DATEDIF(D10,DATE($X$4,$W$4,$V$4),"m")&lt;24,LOOKUP(2,1/(G10&gt;=INDEX(IF(E10="x",CNTCC!$B$4:$F$134,CNTCC!$F$4),MATCH(I10,CNTCC!$A$4:$A$134,0),0)),CNTCC!$B$3:$F$3),IF(AND(DATEDIF(D10,DATE($X$4,$W$4,$V$4),"m")&gt;=24,DATEDIF(D10,DATE($X$4,$W$4,$V$4),"m")&lt;=60),LOOKUP(2,1/(G10&gt;=INDEX(IF(E10="x",CNTCC!$B$141:$F$251,CNTCC!$G$141:$K$251),MATCH(I10,CNTCC!$A$141:$A$251,0),0)),CNTCC!$B$140:$F$140),0))</f>
        <v>bt</v>
      </c>
      <c r="L10" s="145" t="s">
        <v>22</v>
      </c>
      <c r="M10" s="155" t="s">
        <v>51</v>
      </c>
      <c r="N10" s="145" t="s">
        <v>22</v>
      </c>
      <c r="O10" s="145" t="s">
        <v>22</v>
      </c>
      <c r="P10" s="145" t="s">
        <v>22</v>
      </c>
      <c r="Q10" s="145" t="s">
        <v>22</v>
      </c>
      <c r="R10" s="147" t="s">
        <v>57</v>
      </c>
      <c r="S10" s="148" t="str">
        <f>PROPER(B10)</f>
        <v>Nguyễn Duy</v>
      </c>
      <c r="T10" s="148">
        <f>DATEDIF(D10,DATE($X$4,$W$4,$V$4),"m")</f>
        <v>35</v>
      </c>
      <c r="U10" s="148">
        <f>G10/(I10/100)^2</f>
        <v>13.563368055555555</v>
      </c>
      <c r="W10" s="145"/>
      <c r="Y10" s="146">
        <f>COUNTIF(H10:H25,Y9)</f>
        <v>15</v>
      </c>
      <c r="Z10" s="146">
        <f>COUNTIF(H10:H25,Z9)</f>
        <v>0</v>
      </c>
      <c r="AA10" s="146">
        <f>COUNTIF(H10:H25,AA9)</f>
        <v>1</v>
      </c>
      <c r="AB10" s="146">
        <f>COUNTIF(J10:J25,AB9)</f>
        <v>16</v>
      </c>
      <c r="AC10" s="146">
        <f>COUNTIF(J10:J25,AC9)</f>
        <v>0</v>
      </c>
      <c r="AD10" s="146">
        <f>COUNTIF(J10:J25,AD9)</f>
        <v>0</v>
      </c>
      <c r="AE10" s="146">
        <f>COUNTIF(K10:K25,AE9)</f>
        <v>13</v>
      </c>
      <c r="AF10" s="146">
        <f>COUNTIF(K10:K25,AF9)</f>
        <v>2</v>
      </c>
      <c r="AG10" s="146">
        <f>COUNTIF(K10:K25,AG9)</f>
        <v>1</v>
      </c>
      <c r="AH10" s="146">
        <f>COUNTIF(K10:K25,AH9)</f>
        <v>0</v>
      </c>
      <c r="AI10" s="146">
        <f>COUNTIF(R10:R25,AI9)</f>
        <v>9</v>
      </c>
      <c r="AJ10" s="146">
        <f>COUNTIF(R10:R25,AJ9)</f>
        <v>6</v>
      </c>
      <c r="AK10" s="146">
        <f>COUNTIF(R10:R25,AK9)</f>
        <v>1</v>
      </c>
    </row>
    <row r="11" spans="1:37" s="148" customFormat="1" ht="16.8">
      <c r="A11" s="138">
        <v>2</v>
      </c>
      <c r="B11" s="139" t="s">
        <v>334</v>
      </c>
      <c r="C11" s="149" t="s">
        <v>158</v>
      </c>
      <c r="D11" s="141">
        <v>44991</v>
      </c>
      <c r="E11" s="142"/>
      <c r="F11" s="150" t="s">
        <v>189</v>
      </c>
      <c r="G11" s="144">
        <v>14.6</v>
      </c>
      <c r="H11" s="145" t="str">
        <f>IF(DATEDIF(D11,DATE($X$4,$W$4,$V$4),"m")&lt;=60,LOOKUP(2,1/(G11&gt;=INDEX(IF(E11="x",CNTT!$B$4:$E$64,CNTT!$F$4:$I$64),MATCH(DATEDIF(D11,DATE($X$4,$W$4,$V$4),"m"),CNTT!$A$4:$A$64,0),0)),CNTT!$B$3:$E$3),LOOKUP(2,1/(G11&gt;=INDEX(IF(E11="x",CNTT!$B$70:$E$93,CNTT!$F$70:$I$93),MATCH(DATEDIF(D11,DATE($X$4,$W$4,$V$4),"m"),CNTT!$A$70:$A$93,0),0)),CNTT!$B$69:$E$69))</f>
        <v>bt</v>
      </c>
      <c r="I11" s="145">
        <v>100</v>
      </c>
      <c r="J11" s="146" t="str">
        <f>IF(DATEDIF(D11,DATE($X$4,$W$4,$V$4),"m")&lt;=60,LOOKUP(2,1/(I11&gt;=INDEX(IF(E11="x",CCTT!$B$4:$E$64,CCTT!$F$4:$I$64),MATCH(DATEDIF(D11,DATE($X$4,$W$4,$V$4),"m"),CCTT!$A$4:$A$64,0),0)),CCTT!$B$3:$E$3),LOOKUP(2,1/(I11&gt;=INDEX(IF(E11="x",CCTT!$B$70:$E$93,CCTT!$F$70:$I$93),MATCH(DATEDIF(D11,DATE($X$4,$W$4,$V$4),"m"),CCTT!$A$70:$A$93,0),0)),CCTT!B$69:E$69))</f>
        <v>bt</v>
      </c>
      <c r="K11" s="146" t="str">
        <f>IF(DATEDIF(D11,DATE($X$4,$W$4,$V$4),"m")&lt;24,LOOKUP(2,1/(G11&gt;=INDEX(IF(E11="x",CNTCC!$B$4:$F$134,CNTCC!$F$4),MATCH(I11,CNTCC!$A$4:$A$134,0),0)),CNTCC!$B$3:$F$3),IF(AND(DATEDIF(D11,DATE($X$4,$W$4,$V$4),"m")&gt;=24,DATEDIF(D11,DATE($X$4,$W$4,$V$4),"m")&lt;=60),LOOKUP(2,1/(G11&gt;=INDEX(IF(E11="x",CNTCC!$B$141:$F$251,CNTCC!$G$141:$K$251),MATCH(I11,CNTCC!$A$141:$A$251,0),0)),CNTCC!$B$140:$F$140),0))</f>
        <v>bt</v>
      </c>
      <c r="L11" s="145" t="s">
        <v>22</v>
      </c>
      <c r="M11" s="145" t="s">
        <v>22</v>
      </c>
      <c r="N11" s="145" t="s">
        <v>22</v>
      </c>
      <c r="O11" s="145" t="s">
        <v>22</v>
      </c>
      <c r="P11" s="145" t="s">
        <v>22</v>
      </c>
      <c r="Q11" s="145" t="s">
        <v>22</v>
      </c>
      <c r="R11" s="147" t="s">
        <v>23</v>
      </c>
      <c r="S11" s="148" t="str">
        <f t="shared" ref="S11:S25" si="0">PROPER(B11)</f>
        <v>Ng. Lương Quỳnh</v>
      </c>
      <c r="T11" s="148">
        <f t="shared" ref="T11:T25" si="1">DATEDIF(D11,DATE($X$4,$W$4,$V$4),"m")</f>
        <v>41</v>
      </c>
      <c r="U11" s="148">
        <f t="shared" ref="U11:U25" si="2">G11/(I11/100)^2</f>
        <v>14.6</v>
      </c>
      <c r="Y11" s="148">
        <f>SUM(Y10:AA10)</f>
        <v>16</v>
      </c>
    </row>
    <row r="12" spans="1:37" s="148" customFormat="1" ht="16.8">
      <c r="A12" s="138">
        <v>3</v>
      </c>
      <c r="B12" s="139" t="s">
        <v>335</v>
      </c>
      <c r="C12" s="149" t="s">
        <v>158</v>
      </c>
      <c r="D12" s="151">
        <v>45096</v>
      </c>
      <c r="E12" s="142"/>
      <c r="F12" s="143" t="s">
        <v>189</v>
      </c>
      <c r="G12" s="144">
        <v>14.2</v>
      </c>
      <c r="H12" s="145" t="str">
        <f>IF(DATEDIF(D12,DATE($X$4,$W$4,$V$4),"m")&lt;=60,LOOKUP(2,1/(G12&gt;=INDEX(IF(E12="x",CNTT!$B$4:$E$64,CNTT!$F$4:$I$64),MATCH(DATEDIF(D12,DATE($X$4,$W$4,$V$4),"m"),CNTT!$A$4:$A$64,0),0)),CNTT!$B$3:$E$3),LOOKUP(2,1/(G12&gt;=INDEX(IF(E12="x",CNTT!$B$70:$E$93,CNTT!$F$70:$I$93),MATCH(DATEDIF(D12,DATE($X$4,$W$4,$V$4),"m"),CNTT!$A$70:$A$93,0),0)),CNTT!$B$69:$E$69))</f>
        <v>bt</v>
      </c>
      <c r="I12" s="145">
        <v>92</v>
      </c>
      <c r="J12" s="146" t="str">
        <f>IF(DATEDIF(D12,DATE($X$4,$W$4,$V$4),"m")&lt;=60,LOOKUP(2,1/(I12&gt;=INDEX(IF(E12="x",CCTT!$B$4:$E$64,CCTT!$F$4:$I$64),MATCH(DATEDIF(D12,DATE($X$4,$W$4,$V$4),"m"),CCTT!$A$4:$A$64,0),0)),CCTT!$B$3:$E$3),LOOKUP(2,1/(I12&gt;=INDEX(IF(E12="x",CCTT!$B$70:$E$93,CCTT!$F$70:$I$93),MATCH(DATEDIF(D12,DATE($X$4,$W$4,$V$4),"m"),CCTT!$A$70:$A$93,0),0)),CCTT!B$69:E$69))</f>
        <v>bt</v>
      </c>
      <c r="K12" s="146" t="str">
        <f>IF(DATEDIF(D12,DATE($X$4,$W$4,$V$4),"m")&lt;24,LOOKUP(2,1/(G12&gt;=INDEX(IF(E12="x",CNTCC!$B$4:$F$134,CNTCC!$F$4),MATCH(I12,CNTCC!$A$4:$A$134,0),0)),CNTCC!$B$3:$F$3),IF(AND(DATEDIF(D12,DATE($X$4,$W$4,$V$4),"m")&gt;=24,DATEDIF(D12,DATE($X$4,$W$4,$V$4),"m")&lt;=60),LOOKUP(2,1/(G12&gt;=INDEX(IF(E12="x",CNTCC!$B$141:$F$251,CNTCC!$G$141:$K$251),MATCH(I12,CNTCC!$A$141:$A$251,0),0)),CNTCC!$B$140:$F$140),0))</f>
        <v>bt</v>
      </c>
      <c r="L12" s="145" t="s">
        <v>22</v>
      </c>
      <c r="M12" s="145" t="s">
        <v>22</v>
      </c>
      <c r="N12" s="145" t="s">
        <v>22</v>
      </c>
      <c r="O12" s="145" t="s">
        <v>22</v>
      </c>
      <c r="P12" s="145" t="s">
        <v>22</v>
      </c>
      <c r="Q12" s="145" t="s">
        <v>22</v>
      </c>
      <c r="R12" s="147" t="s">
        <v>23</v>
      </c>
      <c r="S12" s="148" t="str">
        <f t="shared" si="0"/>
        <v>Nguyễn Vy</v>
      </c>
      <c r="T12" s="148">
        <f t="shared" si="1"/>
        <v>38</v>
      </c>
      <c r="U12" s="148">
        <f t="shared" si="2"/>
        <v>16.776937618147446</v>
      </c>
      <c r="Y12" s="148">
        <f>SUM(AB10:AD10)</f>
        <v>16</v>
      </c>
    </row>
    <row r="13" spans="1:37" s="148" customFormat="1" ht="18" customHeight="1">
      <c r="A13" s="138">
        <v>4</v>
      </c>
      <c r="B13" s="139" t="s">
        <v>336</v>
      </c>
      <c r="C13" s="149" t="s">
        <v>337</v>
      </c>
      <c r="D13" s="151">
        <v>45206</v>
      </c>
      <c r="E13" s="142" t="s">
        <v>189</v>
      </c>
      <c r="F13" s="143"/>
      <c r="G13" s="144">
        <v>18</v>
      </c>
      <c r="H13" s="145" t="s">
        <v>25</v>
      </c>
      <c r="I13" s="145">
        <v>97</v>
      </c>
      <c r="J13" s="146" t="str">
        <f>IF(DATEDIF(D13,DATE($X$4,$W$4,$V$4),"m")&lt;=60,LOOKUP(2,1/(I13&gt;=INDEX(IF(E13="x",CCTT!$B$4:$E$64,CCTT!$F$4:$I$64),MATCH(DATEDIF(D13,DATE($X$4,$W$4,$V$4),"m"),CCTT!$A$4:$A$64,0),0)),CCTT!$B$3:$E$3),LOOKUP(2,1/(I13&gt;=INDEX(IF(E13="x",CCTT!$B$70:$E$93,CCTT!$F$70:$I$93),MATCH(DATEDIF(D13,DATE($X$4,$W$4,$V$4),"m"),CCTT!$A$70:$A$93,0),0)),CCTT!B$69:E$69))</f>
        <v>bt</v>
      </c>
      <c r="K13" s="156" t="str">
        <f>IF(DATEDIF(D13,DATE($X$4,$W$4,$V$4),"m")&lt;24,LOOKUP(2,1/(G13&gt;=INDEX(IF(E13="x",CNTCC!$B$4:$F$134,CNTCC!$F$4),MATCH(I13,CNTCC!$A$4:$A$134,0),0)),CNTCC!$B$3:$F$3),IF(AND(DATEDIF(D13,DATE($X$4,$W$4,$V$4),"m")&gt;=24,DATEDIF(D13,DATE($X$4,$W$4,$V$4),"m")&lt;=60),LOOKUP(2,1/(G13&gt;=INDEX(IF(E13="x",CNTCC!$B$141:$F$251,CNTCC!$G$141:$K$251),MATCH(I13,CNTCC!$A$141:$A$251,0),0)),CNTCC!$B$140:$F$140),0))</f>
        <v>TC</v>
      </c>
      <c r="L13" s="145" t="s">
        <v>22</v>
      </c>
      <c r="M13" s="155" t="s">
        <v>47</v>
      </c>
      <c r="N13" s="145" t="s">
        <v>22</v>
      </c>
      <c r="O13" s="145" t="s">
        <v>22</v>
      </c>
      <c r="P13" s="145" t="s">
        <v>22</v>
      </c>
      <c r="Q13" s="145" t="s">
        <v>22</v>
      </c>
      <c r="R13" s="147" t="s">
        <v>57</v>
      </c>
      <c r="S13" s="148" t="str">
        <f t="shared" si="0"/>
        <v>Lê Thuần</v>
      </c>
      <c r="T13" s="148">
        <f t="shared" si="1"/>
        <v>34</v>
      </c>
      <c r="U13" s="148">
        <f t="shared" si="2"/>
        <v>19.130619619513233</v>
      </c>
      <c r="Y13" s="148">
        <f>SUM(AE10:AH10)</f>
        <v>16</v>
      </c>
    </row>
    <row r="14" spans="1:37" s="148" customFormat="1" ht="16.8">
      <c r="A14" s="138">
        <v>5</v>
      </c>
      <c r="B14" s="139" t="s">
        <v>338</v>
      </c>
      <c r="C14" s="149" t="s">
        <v>339</v>
      </c>
      <c r="D14" s="151">
        <v>45101</v>
      </c>
      <c r="E14" s="142" t="s">
        <v>189</v>
      </c>
      <c r="F14" s="150"/>
      <c r="G14" s="144">
        <v>13.4</v>
      </c>
      <c r="H14" s="145" t="str">
        <f>IF(DATEDIF(D14,DATE($X$4,$W$4,$V$4),"m")&lt;=60,LOOKUP(2,1/(G14&gt;=INDEX(IF(E14="x",CNTT!$B$4:$E$64,CNTT!$F$4:$I$64),MATCH(DATEDIF(D14,DATE($X$4,$W$4,$V$4),"m"),CNTT!$A$4:$A$64,0),0)),CNTT!$B$3:$E$3),LOOKUP(2,1/(G14&gt;=INDEX(IF(E14="x",CNTT!$B$70:$E$93,CNTT!$F$70:$I$93),MATCH(DATEDIF(D14,DATE($X$4,$W$4,$V$4),"m"),CNTT!$A$70:$A$93,0),0)),CNTT!$B$69:$E$69))</f>
        <v>bt</v>
      </c>
      <c r="I14" s="145">
        <v>95</v>
      </c>
      <c r="J14" s="146" t="str">
        <f>IF(DATEDIF(D14,DATE($X$4,$W$4,$V$4),"m")&lt;=60,LOOKUP(2,1/(I14&gt;=INDEX(IF(E14="x",CCTT!$B$4:$E$64,CCTT!$F$4:$I$64),MATCH(DATEDIF(D14,DATE($X$4,$W$4,$V$4),"m"),CCTT!$A$4:$A$64,0),0)),CCTT!$B$3:$E$3),LOOKUP(2,1/(I14&gt;=INDEX(IF(E14="x",CCTT!$B$70:$E$93,CCTT!$F$70:$I$93),MATCH(DATEDIF(D14,DATE($X$4,$W$4,$V$4),"m"),CCTT!$A$70:$A$93,0),0)),CCTT!B$69:E$69))</f>
        <v>bt</v>
      </c>
      <c r="K14" s="146" t="str">
        <f>IF(DATEDIF(D14,DATE($X$4,$W$4,$V$4),"m")&lt;24,LOOKUP(2,1/(G14&gt;=INDEX(IF(E14="x",CNTCC!$B$4:$F$134,CNTCC!$F$4),MATCH(I14,CNTCC!$A$4:$A$134,0),0)),CNTCC!$B$3:$F$3),IF(AND(DATEDIF(D14,DATE($X$4,$W$4,$V$4),"m")&gt;=24,DATEDIF(D14,DATE($X$4,$W$4,$V$4),"m")&lt;=60),LOOKUP(2,1/(G14&gt;=INDEX(IF(E14="x",CNTCC!$B$141:$F$251,CNTCC!$G$141:$K$251),MATCH(I14,CNTCC!$A$141:$A$251,0),0)),CNTCC!$B$140:$F$140),0))</f>
        <v>bt</v>
      </c>
      <c r="L14" s="145" t="s">
        <v>22</v>
      </c>
      <c r="M14" s="145" t="s">
        <v>22</v>
      </c>
      <c r="N14" s="145" t="s">
        <v>22</v>
      </c>
      <c r="O14" s="145" t="s">
        <v>22</v>
      </c>
      <c r="P14" s="145" t="s">
        <v>22</v>
      </c>
      <c r="Q14" s="145" t="s">
        <v>22</v>
      </c>
      <c r="R14" s="147" t="s">
        <v>23</v>
      </c>
      <c r="S14" s="148" t="str">
        <f t="shared" si="0"/>
        <v>Nguyễn Hoàng Minh</v>
      </c>
      <c r="T14" s="148">
        <f t="shared" si="1"/>
        <v>38</v>
      </c>
      <c r="U14" s="148">
        <f t="shared" si="2"/>
        <v>14.847645429362881</v>
      </c>
      <c r="Y14" s="148">
        <f>SUM(AI10:AK10)</f>
        <v>16</v>
      </c>
    </row>
    <row r="15" spans="1:37" s="148" customFormat="1" ht="16.8">
      <c r="A15" s="138">
        <v>6</v>
      </c>
      <c r="B15" s="139" t="s">
        <v>340</v>
      </c>
      <c r="C15" s="149" t="s">
        <v>177</v>
      </c>
      <c r="D15" s="151">
        <v>44956</v>
      </c>
      <c r="E15" s="142"/>
      <c r="F15" s="143" t="s">
        <v>189</v>
      </c>
      <c r="G15" s="144">
        <v>13.4</v>
      </c>
      <c r="H15" s="145" t="str">
        <f>IF(DATEDIF(D15,DATE($X$4,$W$4,$V$4),"m")&lt;=60,LOOKUP(2,1/(G15&gt;=INDEX(IF(E15="x",CNTT!$B$4:$E$64,CNTT!$F$4:$I$64),MATCH(DATEDIF(D15,DATE($X$4,$W$4,$V$4),"m"),CNTT!$A$4:$A$64,0),0)),CNTT!$B$3:$E$3),LOOKUP(2,1/(G15&gt;=INDEX(IF(E15="x",CNTT!$B$70:$E$93,CNTT!$F$70:$I$93),MATCH(DATEDIF(D15,DATE($X$4,$W$4,$V$4),"m"),CNTT!$A$70:$A$93,0),0)),CNTT!$B$69:$E$69))</f>
        <v>bt</v>
      </c>
      <c r="I15" s="145">
        <v>95</v>
      </c>
      <c r="J15" s="146" t="str">
        <f>IF(DATEDIF(D15,DATE($X$4,$W$4,$V$4),"m")&lt;=60,LOOKUP(2,1/(I15&gt;=INDEX(IF(E15="x",CCTT!$B$4:$E$64,CCTT!$F$4:$I$64),MATCH(DATEDIF(D15,DATE($X$4,$W$4,$V$4),"m"),CCTT!$A$4:$A$64,0),0)),CCTT!$B$3:$E$3),LOOKUP(2,1/(I15&gt;=INDEX(IF(E15="x",CCTT!$B$70:$E$93,CCTT!$F$70:$I$93),MATCH(DATEDIF(D15,DATE($X$4,$W$4,$V$4),"m"),CCTT!$A$70:$A$93,0),0)),CCTT!B$69:E$69))</f>
        <v>bt</v>
      </c>
      <c r="K15" s="146" t="str">
        <f>IF(DATEDIF(D15,DATE($X$4,$W$4,$V$4),"m")&lt;24,LOOKUP(2,1/(G15&gt;=INDEX(IF(E15="x",CNTCC!$B$4:$F$134,CNTCC!$F$4),MATCH(I15,CNTCC!$A$4:$A$134,0),0)),CNTCC!$B$3:$F$3),IF(AND(DATEDIF(D15,DATE($X$4,$W$4,$V$4),"m")&gt;=24,DATEDIF(D15,DATE($X$4,$W$4,$V$4),"m")&lt;=60),LOOKUP(2,1/(G15&gt;=INDEX(IF(E15="x",CNTCC!$B$141:$F$251,CNTCC!$G$141:$K$251),MATCH(I15,CNTCC!$A$141:$A$251,0),0)),CNTCC!$B$140:$F$140),0))</f>
        <v>bt</v>
      </c>
      <c r="L15" s="145" t="s">
        <v>22</v>
      </c>
      <c r="M15" s="145" t="s">
        <v>22</v>
      </c>
      <c r="N15" s="145" t="s">
        <v>22</v>
      </c>
      <c r="O15" s="145" t="s">
        <v>22</v>
      </c>
      <c r="P15" s="155" t="s">
        <v>437</v>
      </c>
      <c r="Q15" s="145" t="s">
        <v>22</v>
      </c>
      <c r="R15" s="147" t="s">
        <v>57</v>
      </c>
      <c r="S15" s="148" t="str">
        <f t="shared" si="0"/>
        <v>Ng. Ngọc Gia</v>
      </c>
      <c r="T15" s="148">
        <f t="shared" si="1"/>
        <v>43</v>
      </c>
      <c r="U15" s="148">
        <f t="shared" si="2"/>
        <v>14.847645429362881</v>
      </c>
    </row>
    <row r="16" spans="1:37" s="148" customFormat="1" ht="16.8">
      <c r="A16" s="138">
        <v>7</v>
      </c>
      <c r="B16" s="139" t="s">
        <v>341</v>
      </c>
      <c r="C16" s="149" t="s">
        <v>177</v>
      </c>
      <c r="D16" s="151">
        <v>45198</v>
      </c>
      <c r="E16" s="142"/>
      <c r="F16" s="143" t="s">
        <v>189</v>
      </c>
      <c r="G16" s="144">
        <v>12.7</v>
      </c>
      <c r="H16" s="145" t="str">
        <f>IF(DATEDIF(D16,DATE($X$4,$W$4,$V$4),"m")&lt;=60,LOOKUP(2,1/(G16&gt;=INDEX(IF(E16="x",CNTT!$B$4:$E$64,CNTT!$F$4:$I$64),MATCH(DATEDIF(D16,DATE($X$4,$W$4,$V$4),"m"),CNTT!$A$4:$A$64,0),0)),CNTT!$B$3:$E$3),LOOKUP(2,1/(G16&gt;=INDEX(IF(E16="x",CNTT!$B$70:$E$93,CNTT!$F$70:$I$93),MATCH(DATEDIF(D16,DATE($X$4,$W$4,$V$4),"m"),CNTT!$A$70:$A$93,0),0)),CNTT!$B$69:$E$69))</f>
        <v>bt</v>
      </c>
      <c r="I16" s="145">
        <v>88</v>
      </c>
      <c r="J16" s="146" t="str">
        <f>IF(DATEDIF(D16,DATE($X$4,$W$4,$V$4),"m")&lt;=60,LOOKUP(2,1/(I16&gt;=INDEX(IF(E16="x",CCTT!$B$4:$E$64,CCTT!$F$4:$I$64),MATCH(DATEDIF(D16,DATE($X$4,$W$4,$V$4),"m"),CCTT!$A$4:$A$64,0),0)),CCTT!$B$3:$E$3),LOOKUP(2,1/(I16&gt;=INDEX(IF(E16="x",CCTT!$B$70:$E$93,CCTT!$F$70:$I$93),MATCH(DATEDIF(D16,DATE($X$4,$W$4,$V$4),"m"),CCTT!$A$70:$A$93,0),0)),CCTT!B$69:E$69))</f>
        <v>bt</v>
      </c>
      <c r="K16" s="146" t="str">
        <f>IF(DATEDIF(D16,DATE($X$4,$W$4,$V$4),"m")&lt;24,LOOKUP(2,1/(G16&gt;=INDEX(IF(E16="x",CNTCC!$B$4:$F$134,CNTCC!$F$4),MATCH(I16,CNTCC!$A$4:$A$134,0),0)),CNTCC!$B$3:$F$3),IF(AND(DATEDIF(D16,DATE($X$4,$W$4,$V$4),"m")&gt;=24,DATEDIF(D16,DATE($X$4,$W$4,$V$4),"m")&lt;=60),LOOKUP(2,1/(G16&gt;=INDEX(IF(E16="x",CNTCC!$B$141:$F$251,CNTCC!$G$141:$K$251),MATCH(I16,CNTCC!$A$141:$A$251,0),0)),CNTCC!$B$140:$F$140),0))</f>
        <v>bt</v>
      </c>
      <c r="L16" s="145" t="s">
        <v>22</v>
      </c>
      <c r="M16" s="145" t="s">
        <v>22</v>
      </c>
      <c r="N16" s="145" t="s">
        <v>22</v>
      </c>
      <c r="O16" s="145" t="s">
        <v>22</v>
      </c>
      <c r="P16" s="145" t="s">
        <v>22</v>
      </c>
      <c r="Q16" s="145" t="s">
        <v>22</v>
      </c>
      <c r="R16" s="147" t="s">
        <v>23</v>
      </c>
      <c r="S16" s="148" t="str">
        <f t="shared" si="0"/>
        <v>Nguyễn Đoàn Khả</v>
      </c>
      <c r="T16" s="148">
        <f t="shared" si="1"/>
        <v>35</v>
      </c>
      <c r="U16" s="148">
        <f t="shared" si="2"/>
        <v>16.399793388429753</v>
      </c>
    </row>
    <row r="17" spans="1:21" s="148" customFormat="1" ht="16.8">
      <c r="A17" s="138">
        <v>8</v>
      </c>
      <c r="B17" s="152" t="s">
        <v>342</v>
      </c>
      <c r="C17" s="153" t="s">
        <v>177</v>
      </c>
      <c r="D17" s="151">
        <v>45220</v>
      </c>
      <c r="E17" s="142"/>
      <c r="F17" s="150" t="s">
        <v>189</v>
      </c>
      <c r="G17" s="144">
        <v>13.4</v>
      </c>
      <c r="H17" s="145" t="str">
        <f>IF(DATEDIF(D17,DATE($X$4,$W$4,$V$4),"m")&lt;=60,LOOKUP(2,1/(G17&gt;=INDEX(IF(E17="x",CNTT!$B$4:$E$64,CNTT!$F$4:$I$64),MATCH(DATEDIF(D17,DATE($X$4,$W$4,$V$4),"m"),CNTT!$A$4:$A$64,0),0)),CNTT!$B$3:$E$3),LOOKUP(2,1/(G17&gt;=INDEX(IF(E17="x",CNTT!$B$70:$E$93,CNTT!$F$70:$I$93),MATCH(DATEDIF(D17,DATE($X$4,$W$4,$V$4),"m"),CNTT!$A$70:$A$93,0),0)),CNTT!$B$69:$E$69))</f>
        <v>bt</v>
      </c>
      <c r="I17" s="145">
        <v>93</v>
      </c>
      <c r="J17" s="146" t="str">
        <f>IF(DATEDIF(D17,DATE($X$4,$W$4,$V$4),"m")&lt;=60,LOOKUP(2,1/(I17&gt;=INDEX(IF(E17="x",CCTT!$B$4:$E$64,CCTT!$F$4:$I$64),MATCH(DATEDIF(D17,DATE($X$4,$W$4,$V$4),"m"),CCTT!$A$4:$A$64,0),0)),CCTT!$B$3:$E$3),LOOKUP(2,1/(I17&gt;=INDEX(IF(E17="x",CCTT!$B$70:$E$93,CCTT!$F$70:$I$93),MATCH(DATEDIF(D17,DATE($X$4,$W$4,$V$4),"m"),CCTT!$A$70:$A$93,0),0)),CCTT!B$69:E$69))</f>
        <v>bt</v>
      </c>
      <c r="K17" s="146" t="str">
        <f>IF(DATEDIF(D17,DATE($X$4,$W$4,$V$4),"m")&lt;24,LOOKUP(2,1/(G17&gt;=INDEX(IF(E17="x",CNTCC!$B$4:$F$134,CNTCC!$F$4),MATCH(I17,CNTCC!$A$4:$A$134,0),0)),CNTCC!$B$3:$F$3),IF(AND(DATEDIF(D17,DATE($X$4,$W$4,$V$4),"m")&gt;=24,DATEDIF(D17,DATE($X$4,$W$4,$V$4),"m")&lt;=60),LOOKUP(2,1/(G17&gt;=INDEX(IF(E17="x",CNTCC!$B$141:$F$251,CNTCC!$G$141:$K$251),MATCH(I17,CNTCC!$A$141:$A$251,0),0)),CNTCC!$B$140:$F$140),0))</f>
        <v>bt</v>
      </c>
      <c r="L17" s="145" t="s">
        <v>22</v>
      </c>
      <c r="M17" s="145" t="s">
        <v>22</v>
      </c>
      <c r="N17" s="145" t="s">
        <v>22</v>
      </c>
      <c r="O17" s="145" t="s">
        <v>22</v>
      </c>
      <c r="P17" s="145" t="s">
        <v>22</v>
      </c>
      <c r="Q17" s="145" t="s">
        <v>22</v>
      </c>
      <c r="R17" s="147" t="s">
        <v>23</v>
      </c>
      <c r="S17" s="148" t="str">
        <f t="shared" si="0"/>
        <v>Huỳnh Ngọc Nhã</v>
      </c>
      <c r="T17" s="148">
        <f t="shared" si="1"/>
        <v>34</v>
      </c>
      <c r="U17" s="148">
        <f t="shared" si="2"/>
        <v>15.493120591975948</v>
      </c>
    </row>
    <row r="18" spans="1:21" s="148" customFormat="1" ht="16.8">
      <c r="A18" s="138">
        <v>9</v>
      </c>
      <c r="B18" s="139" t="s">
        <v>343</v>
      </c>
      <c r="C18" s="149" t="s">
        <v>177</v>
      </c>
      <c r="D18" s="154">
        <v>44956</v>
      </c>
      <c r="E18" s="142"/>
      <c r="F18" s="150" t="s">
        <v>189</v>
      </c>
      <c r="G18" s="144">
        <v>15.3</v>
      </c>
      <c r="H18" s="145" t="str">
        <f>IF(DATEDIF(D18,DATE($X$4,$W$4,$V$4),"m")&lt;=60,LOOKUP(2,1/(G18&gt;=INDEX(IF(E18="x",CNTT!$B$4:$E$64,CNTT!$F$4:$I$64),MATCH(DATEDIF(D18,DATE($X$4,$W$4,$V$4),"m"),CNTT!$A$4:$A$64,0),0)),CNTT!$B$3:$E$3),LOOKUP(2,1/(G18&gt;=INDEX(IF(E18="x",CNTT!$B$70:$E$93,CNTT!$F$70:$I$93),MATCH(DATEDIF(D18,DATE($X$4,$W$4,$V$4),"m"),CNTT!$A$70:$A$93,0),0)),CNTT!$B$69:$E$69))</f>
        <v>bt</v>
      </c>
      <c r="I18" s="145">
        <v>101</v>
      </c>
      <c r="J18" s="146" t="str">
        <f>IF(DATEDIF(D18,DATE($X$4,$W$4,$V$4),"m")&lt;=60,LOOKUP(2,1/(I18&gt;=INDEX(IF(E18="x",CCTT!$B$4:$E$64,CCTT!$F$4:$I$64),MATCH(DATEDIF(D18,DATE($X$4,$W$4,$V$4),"m"),CCTT!$A$4:$A$64,0),0)),CCTT!$B$3:$E$3),LOOKUP(2,1/(I18&gt;=INDEX(IF(E18="x",CCTT!$B$70:$E$93,CCTT!$F$70:$I$93),MATCH(DATEDIF(D18,DATE($X$4,$W$4,$V$4),"m"),CCTT!$A$70:$A$93,0),0)),CCTT!B$69:E$69))</f>
        <v>bt</v>
      </c>
      <c r="K18" s="146" t="str">
        <f>IF(DATEDIF(D18,DATE($X$4,$W$4,$V$4),"m")&lt;24,LOOKUP(2,1/(G18&gt;=INDEX(IF(E18="x",CNTCC!$B$4:$F$134,CNTCC!$F$4),MATCH(I18,CNTCC!$A$4:$A$134,0),0)),CNTCC!$B$3:$F$3),IF(AND(DATEDIF(D18,DATE($X$4,$W$4,$V$4),"m")&gt;=24,DATEDIF(D18,DATE($X$4,$W$4,$V$4),"m")&lt;=60),LOOKUP(2,1/(G18&gt;=INDEX(IF(E18="x",CNTCC!$B$141:$F$251,CNTCC!$G$141:$K$251),MATCH(I18,CNTCC!$A$141:$A$251,0),0)),CNTCC!$B$140:$F$140),0))</f>
        <v>bt</v>
      </c>
      <c r="L18" s="145" t="s">
        <v>22</v>
      </c>
      <c r="M18" s="145" t="s">
        <v>22</v>
      </c>
      <c r="N18" s="145" t="s">
        <v>22</v>
      </c>
      <c r="O18" s="145" t="s">
        <v>22</v>
      </c>
      <c r="P18" s="145" t="s">
        <v>22</v>
      </c>
      <c r="Q18" s="145" t="s">
        <v>22</v>
      </c>
      <c r="R18" s="147" t="s">
        <v>23</v>
      </c>
      <c r="S18" s="148" t="str">
        <f t="shared" si="0"/>
        <v>Phan Triều</v>
      </c>
      <c r="T18" s="148">
        <f t="shared" si="1"/>
        <v>43</v>
      </c>
      <c r="U18" s="148">
        <f t="shared" si="2"/>
        <v>14.99852955592589</v>
      </c>
    </row>
    <row r="19" spans="1:21" s="148" customFormat="1" ht="16.8">
      <c r="A19" s="138">
        <v>10</v>
      </c>
      <c r="B19" s="139" t="s">
        <v>344</v>
      </c>
      <c r="C19" s="140" t="s">
        <v>157</v>
      </c>
      <c r="D19" s="151">
        <v>45067</v>
      </c>
      <c r="E19" s="142" t="s">
        <v>189</v>
      </c>
      <c r="F19" s="150"/>
      <c r="G19" s="144">
        <v>13.7</v>
      </c>
      <c r="H19" s="145" t="str">
        <f>IF(DATEDIF(D19,DATE($X$4,$W$4,$V$4),"m")&lt;=60,LOOKUP(2,1/(G19&gt;=INDEX(IF(E19="x",CNTT!$B$4:$E$64,CNTT!$F$4:$I$64),MATCH(DATEDIF(D19,DATE($X$4,$W$4,$V$4),"m"),CNTT!$A$4:$A$64,0),0)),CNTT!$B$3:$E$3),LOOKUP(2,1/(G19&gt;=INDEX(IF(E19="x",CNTT!$B$70:$E$93,CNTT!$F$70:$I$93),MATCH(DATEDIF(D19,DATE($X$4,$W$4,$V$4),"m"),CNTT!$A$70:$A$93,0),0)),CNTT!$B$69:$E$69))</f>
        <v>bt</v>
      </c>
      <c r="I19" s="145">
        <v>97</v>
      </c>
      <c r="J19" s="146" t="str">
        <f>IF(DATEDIF(D19,DATE($X$4,$W$4,$V$4),"m")&lt;=60,LOOKUP(2,1/(I19&gt;=INDEX(IF(E19="x",CCTT!$B$4:$E$64,CCTT!$F$4:$I$64),MATCH(DATEDIF(D19,DATE($X$4,$W$4,$V$4),"m"),CCTT!$A$4:$A$64,0),0)),CCTT!$B$3:$E$3),LOOKUP(2,1/(I19&gt;=INDEX(IF(E19="x",CCTT!$B$70:$E$93,CCTT!$F$70:$I$93),MATCH(DATEDIF(D19,DATE($X$4,$W$4,$V$4),"m"),CCTT!$A$70:$A$93,0),0)),CCTT!B$69:E$69))</f>
        <v>bt</v>
      </c>
      <c r="K19" s="146" t="str">
        <f>IF(DATEDIF(D19,DATE($X$4,$W$4,$V$4),"m")&lt;24,LOOKUP(2,1/(G19&gt;=INDEX(IF(E19="x",CNTCC!$B$4:$F$134,CNTCC!$F$4),MATCH(I19,CNTCC!$A$4:$A$134,0),0)),CNTCC!$B$3:$F$3),IF(AND(DATEDIF(D19,DATE($X$4,$W$4,$V$4),"m")&gt;=24,DATEDIF(D19,DATE($X$4,$W$4,$V$4),"m")&lt;=60),LOOKUP(2,1/(G19&gt;=INDEX(IF(E19="x",CNTCC!$B$141:$F$251,CNTCC!$G$141:$K$251),MATCH(I19,CNTCC!$A$141:$A$251,0),0)),CNTCC!$B$140:$F$140),0))</f>
        <v>bt</v>
      </c>
      <c r="L19" s="145" t="s">
        <v>22</v>
      </c>
      <c r="M19" s="145" t="s">
        <v>22</v>
      </c>
      <c r="N19" s="145" t="s">
        <v>22</v>
      </c>
      <c r="O19" s="145" t="s">
        <v>22</v>
      </c>
      <c r="P19" s="145" t="s">
        <v>22</v>
      </c>
      <c r="Q19" s="145" t="s">
        <v>22</v>
      </c>
      <c r="R19" s="147" t="s">
        <v>23</v>
      </c>
      <c r="S19" s="148" t="str">
        <f t="shared" si="0"/>
        <v>Nguyễn Đào Duy</v>
      </c>
      <c r="T19" s="148">
        <f t="shared" si="1"/>
        <v>39</v>
      </c>
      <c r="U19" s="148">
        <f t="shared" si="2"/>
        <v>14.560527154851737</v>
      </c>
    </row>
    <row r="20" spans="1:21" s="148" customFormat="1" ht="16.8">
      <c r="A20" s="138">
        <v>11</v>
      </c>
      <c r="B20" s="139" t="s">
        <v>345</v>
      </c>
      <c r="C20" s="140" t="s">
        <v>181</v>
      </c>
      <c r="D20" s="151">
        <v>44955</v>
      </c>
      <c r="E20" s="142" t="s">
        <v>189</v>
      </c>
      <c r="F20" s="150"/>
      <c r="G20" s="144">
        <v>13.7</v>
      </c>
      <c r="H20" s="145" t="str">
        <f>IF(DATEDIF(D20,DATE($X$4,$W$4,$V$4),"m")&lt;=60,LOOKUP(2,1/(G20&gt;=INDEX(IF(E20="x",CNTT!$B$4:$E$64,CNTT!$F$4:$I$64),MATCH(DATEDIF(D20,DATE($X$4,$W$4,$V$4),"m"),CNTT!$A$4:$A$64,0),0)),CNTT!$B$3:$E$3),LOOKUP(2,1/(G20&gt;=INDEX(IF(E20="x",CNTT!$B$70:$E$93,CNTT!$F$70:$I$93),MATCH(DATEDIF(D20,DATE($X$4,$W$4,$V$4),"m"),CNTT!$A$70:$A$93,0),0)),CNTT!$B$69:$E$69))</f>
        <v>bt</v>
      </c>
      <c r="I20" s="145">
        <v>99</v>
      </c>
      <c r="J20" s="146" t="str">
        <f>IF(DATEDIF(D20,DATE($X$4,$W$4,$V$4),"m")&lt;=60,LOOKUP(2,1/(I20&gt;=INDEX(IF(E20="x",CCTT!$B$4:$E$64,CCTT!$F$4:$I$64),MATCH(DATEDIF(D20,DATE($X$4,$W$4,$V$4),"m"),CCTT!$A$4:$A$64,0),0)),CCTT!$B$3:$E$3),LOOKUP(2,1/(I20&gt;=INDEX(IF(E20="x",CCTT!$B$70:$E$93,CCTT!$F$70:$I$93),MATCH(DATEDIF(D20,DATE($X$4,$W$4,$V$4),"m"),CCTT!$A$70:$A$93,0),0)),CCTT!B$69:E$69))</f>
        <v>bt</v>
      </c>
      <c r="K20" s="146" t="str">
        <f>IF(DATEDIF(D20,DATE($X$4,$W$4,$V$4),"m")&lt;24,LOOKUP(2,1/(G20&gt;=INDEX(IF(E20="x",CNTCC!$B$4:$F$134,CNTCC!$F$4),MATCH(I20,CNTCC!$A$4:$A$134,0),0)),CNTCC!$B$3:$F$3),IF(AND(DATEDIF(D20,DATE($X$4,$W$4,$V$4),"m")&gt;=24,DATEDIF(D20,DATE($X$4,$W$4,$V$4),"m")&lt;=60),LOOKUP(2,1/(G20&gt;=INDEX(IF(E20="x",CNTCC!$B$141:$F$251,CNTCC!$G$141:$K$251),MATCH(I20,CNTCC!$A$141:$A$251,0),0)),CNTCC!$B$140:$F$140),0))</f>
        <v>bt</v>
      </c>
      <c r="L20" s="145" t="s">
        <v>22</v>
      </c>
      <c r="M20" s="145" t="s">
        <v>22</v>
      </c>
      <c r="N20" s="145" t="s">
        <v>22</v>
      </c>
      <c r="O20" s="145" t="s">
        <v>22</v>
      </c>
      <c r="P20" s="145" t="s">
        <v>22</v>
      </c>
      <c r="Q20" s="145" t="s">
        <v>22</v>
      </c>
      <c r="R20" s="147" t="s">
        <v>23</v>
      </c>
      <c r="S20" s="148" t="str">
        <f t="shared" si="0"/>
        <v>Nguyễn Công</v>
      </c>
      <c r="T20" s="148">
        <f t="shared" si="1"/>
        <v>43</v>
      </c>
      <c r="U20" s="148">
        <f t="shared" si="2"/>
        <v>13.978165493317007</v>
      </c>
    </row>
    <row r="21" spans="1:21" s="148" customFormat="1" ht="16.8">
      <c r="A21" s="138">
        <v>12</v>
      </c>
      <c r="B21" s="139" t="s">
        <v>346</v>
      </c>
      <c r="C21" s="140" t="s">
        <v>166</v>
      </c>
      <c r="D21" s="151">
        <v>45047</v>
      </c>
      <c r="E21" s="142"/>
      <c r="F21" s="150" t="s">
        <v>189</v>
      </c>
      <c r="G21" s="144">
        <v>14.6</v>
      </c>
      <c r="H21" s="145" t="str">
        <f>IF(DATEDIF(D21,DATE($X$4,$W$4,$V$4),"m")&lt;=60,LOOKUP(2,1/(G21&gt;=INDEX(IF(E21="x",CNTT!$B$4:$E$64,CNTT!$F$4:$I$64),MATCH(DATEDIF(D21,DATE($X$4,$W$4,$V$4),"m"),CNTT!$A$4:$A$64,0),0)),CNTT!$B$3:$E$3),LOOKUP(2,1/(G21&gt;=INDEX(IF(E21="x",CNTT!$B$70:$E$93,CNTT!$F$70:$I$93),MATCH(DATEDIF(D21,DATE($X$4,$W$4,$V$4),"m"),CNTT!$A$70:$A$93,0),0)),CNTT!$B$69:$E$69))</f>
        <v>bt</v>
      </c>
      <c r="I21" s="145">
        <v>93</v>
      </c>
      <c r="J21" s="146" t="str">
        <f>IF(DATEDIF(D21,DATE($X$4,$W$4,$V$4),"m")&lt;=60,LOOKUP(2,1/(I21&gt;=INDEX(IF(E21="x",CCTT!$B$4:$E$64,CCTT!$F$4:$I$64),MATCH(DATEDIF(D21,DATE($X$4,$W$4,$V$4),"m"),CCTT!$A$4:$A$64,0),0)),CCTT!$B$3:$E$3),LOOKUP(2,1/(I21&gt;=INDEX(IF(E21="x",CCTT!$B$70:$E$93,CCTT!$F$70:$I$93),MATCH(DATEDIF(D21,DATE($X$4,$W$4,$V$4),"m"),CCTT!$A$70:$A$93,0),0)),CCTT!B$69:E$69))</f>
        <v>bt</v>
      </c>
      <c r="K21" s="146" t="str">
        <f>IF(DATEDIF(D21,DATE($X$4,$W$4,$V$4),"m")&lt;24,LOOKUP(2,1/(G21&gt;=INDEX(IF(E21="x",CNTCC!$B$4:$F$134,CNTCC!$F$4),MATCH(I21,CNTCC!$A$4:$A$134,0),0)),CNTCC!$B$3:$F$3),IF(AND(DATEDIF(D21,DATE($X$4,$W$4,$V$4),"m")&gt;=24,DATEDIF(D21,DATE($X$4,$W$4,$V$4),"m")&lt;=60),LOOKUP(2,1/(G21&gt;=INDEX(IF(E21="x",CNTCC!$B$141:$F$251,CNTCC!$G$141:$K$251),MATCH(I21,CNTCC!$A$141:$A$251,0),0)),CNTCC!$B$140:$F$140),0))</f>
        <v>bt</v>
      </c>
      <c r="L21" s="145" t="s">
        <v>22</v>
      </c>
      <c r="M21" s="145" t="s">
        <v>22</v>
      </c>
      <c r="N21" s="145" t="s">
        <v>22</v>
      </c>
      <c r="O21" s="145" t="s">
        <v>22</v>
      </c>
      <c r="P21" s="145" t="s">
        <v>22</v>
      </c>
      <c r="Q21" s="145" t="s">
        <v>22</v>
      </c>
      <c r="R21" s="147" t="s">
        <v>23</v>
      </c>
      <c r="S21" s="148" t="str">
        <f t="shared" si="0"/>
        <v>Nguyễn Ngọc Kim</v>
      </c>
      <c r="T21" s="148">
        <f t="shared" si="1"/>
        <v>39</v>
      </c>
      <c r="U21" s="148">
        <f t="shared" si="2"/>
        <v>16.880564227078274</v>
      </c>
    </row>
    <row r="22" spans="1:21" s="148" customFormat="1" ht="16.8">
      <c r="A22" s="138">
        <v>13</v>
      </c>
      <c r="B22" s="139" t="s">
        <v>445</v>
      </c>
      <c r="C22" s="140" t="s">
        <v>166</v>
      </c>
      <c r="D22" s="151">
        <v>45142</v>
      </c>
      <c r="E22" s="142"/>
      <c r="F22" s="150" t="s">
        <v>189</v>
      </c>
      <c r="G22" s="144">
        <v>13.2</v>
      </c>
      <c r="H22" s="145" t="str">
        <f>IF(DATEDIF(D22,DATE($X$4,$W$4,$V$4),"m")&lt;=60,LOOKUP(2,1/(G22&gt;=INDEX(IF(E22="x",CNTT!$B$4:$E$64,CNTT!$F$4:$I$64),MATCH(DATEDIF(D22,DATE($X$4,$W$4,$V$4),"m"),CNTT!$A$4:$A$64,0),0)),CNTT!$B$3:$E$3),LOOKUP(2,1/(G22&gt;=INDEX(IF(E22="x",CNTT!$B$70:$E$93,CNTT!$F$70:$I$93),MATCH(DATEDIF(D22,DATE($X$4,$W$4,$V$4),"m"),CNTT!$A$70:$A$93,0),0)),CNTT!$B$69:$E$69))</f>
        <v>bt</v>
      </c>
      <c r="I22" s="145">
        <v>96</v>
      </c>
      <c r="J22" s="146" t="str">
        <f>IF(DATEDIF(D22,DATE($X$4,$W$4,$V$4),"m")&lt;=60,LOOKUP(2,1/(I22&gt;=INDEX(IF(E22="x",CCTT!$B$4:$E$64,CCTT!$F$4:$I$64),MATCH(DATEDIF(D22,DATE($X$4,$W$4,$V$4),"m"),CCTT!$A$4:$A$64,0),0)),CCTT!$B$3:$E$3),LOOKUP(2,1/(I22&gt;=INDEX(IF(E22="x",CCTT!$B$70:$E$93,CCTT!$F$70:$I$93),MATCH(DATEDIF(D22,DATE($X$4,$W$4,$V$4),"m"),CCTT!$A$70:$A$93,0),0)),CCTT!B$69:E$69))</f>
        <v>bt</v>
      </c>
      <c r="K22" s="146" t="str">
        <f>IF(DATEDIF(D22,DATE($X$4,$W$4,$V$4),"m")&lt;24,LOOKUP(2,1/(G22&gt;=INDEX(IF(E22="x",CNTCC!$B$4:$F$134,CNTCC!$F$4),MATCH(I22,CNTCC!$A$4:$A$134,0),0)),CNTCC!$B$3:$F$3),IF(AND(DATEDIF(D22,DATE($X$4,$W$4,$V$4),"m")&gt;=24,DATEDIF(D22,DATE($X$4,$W$4,$V$4),"m")&lt;=60),LOOKUP(2,1/(G22&gt;=INDEX(IF(E22="x",CNTCC!$B$141:$F$251,CNTCC!$G$141:$K$251),MATCH(I22,CNTCC!$A$141:$A$251,0),0)),CNTCC!$B$140:$F$140),0))</f>
        <v>bt</v>
      </c>
      <c r="L22" s="145" t="s">
        <v>22</v>
      </c>
      <c r="M22" s="145" t="s">
        <v>22</v>
      </c>
      <c r="N22" s="145" t="s">
        <v>22</v>
      </c>
      <c r="O22" s="145" t="s">
        <v>22</v>
      </c>
      <c r="P22" s="155" t="s">
        <v>437</v>
      </c>
      <c r="Q22" s="145" t="s">
        <v>22</v>
      </c>
      <c r="R22" s="147" t="s">
        <v>57</v>
      </c>
      <c r="S22" s="148" t="str">
        <f t="shared" si="0"/>
        <v>Nguyễn Ngọc Quỳnh</v>
      </c>
      <c r="T22" s="148">
        <f t="shared" si="1"/>
        <v>36</v>
      </c>
      <c r="U22" s="148">
        <f t="shared" si="2"/>
        <v>14.322916666666666</v>
      </c>
    </row>
    <row r="23" spans="1:21" s="148" customFormat="1" ht="16.8">
      <c r="A23" s="138">
        <v>14</v>
      </c>
      <c r="B23" s="139" t="s">
        <v>347</v>
      </c>
      <c r="C23" s="140" t="s">
        <v>162</v>
      </c>
      <c r="D23" s="151">
        <v>45133</v>
      </c>
      <c r="E23" s="142"/>
      <c r="F23" s="150" t="s">
        <v>189</v>
      </c>
      <c r="G23" s="144">
        <v>20.8</v>
      </c>
      <c r="H23" s="155" t="str">
        <f>IF(DATEDIF(D23,DATE($X$4,$W$4,$V$4),"m")&lt;=60,LOOKUP(2,1/(G23&gt;=INDEX(IF(E23="x",CNTT!$B$4:$E$64,CNTT!$F$4:$I$64),MATCH(DATEDIF(D23,DATE($X$4,$W$4,$V$4),"m"),CNTT!$A$4:$A$64,0),0)),CNTT!$B$3:$E$3),LOOKUP(2,1/(G23&gt;=INDEX(IF(E23="x",CNTT!$B$70:$E$93,CNTT!$F$70:$I$93),MATCH(DATEDIF(D23,DATE($X$4,$W$4,$V$4),"m"),CNTT!$A$70:$A$93,0),0)),CNTT!$B$69:$E$69))</f>
        <v>CNC</v>
      </c>
      <c r="I23" s="145">
        <v>96</v>
      </c>
      <c r="J23" s="146" t="str">
        <f>IF(DATEDIF(D23,DATE($X$4,$W$4,$V$4),"m")&lt;=60,LOOKUP(2,1/(I23&gt;=INDEX(IF(E23="x",CCTT!$B$4:$E$64,CCTT!$F$4:$I$64),MATCH(DATEDIF(D23,DATE($X$4,$W$4,$V$4),"m"),CCTT!$A$4:$A$64,0),0)),CCTT!$B$3:$E$3),LOOKUP(2,1/(I23&gt;=INDEX(IF(E23="x",CCTT!$B$70:$E$93,CCTT!$F$70:$I$93),MATCH(DATEDIF(D23,DATE($X$4,$W$4,$V$4),"m"),CCTT!$A$70:$A$93,0),0)),CCTT!B$69:E$69))</f>
        <v>bt</v>
      </c>
      <c r="K23" s="156" t="str">
        <f>IF(DATEDIF(D23,DATE($X$4,$W$4,$V$4),"m")&lt;24,LOOKUP(2,1/(G23&gt;=INDEX(IF(E23="x",CNTCC!$B$4:$F$134,CNTCC!$F$4),MATCH(I23,CNTCC!$A$4:$A$134,0),0)),CNTCC!$B$3:$F$3),IF(AND(DATEDIF(D23,DATE($X$4,$W$4,$V$4),"m")&gt;=24,DATEDIF(D23,DATE($X$4,$W$4,$V$4),"m")&lt;=60),LOOKUP(2,1/(G23&gt;=INDEX(IF(E23="x",CNTCC!$B$141:$F$251,CNTCC!$G$141:$K$251),MATCH(I23,CNTCC!$A$141:$A$251,0),0)),CNTCC!$B$140:$F$140),0))</f>
        <v>BP</v>
      </c>
      <c r="L23" s="145" t="s">
        <v>22</v>
      </c>
      <c r="M23" s="145" t="s">
        <v>22</v>
      </c>
      <c r="N23" s="145" t="s">
        <v>22</v>
      </c>
      <c r="O23" s="145" t="s">
        <v>22</v>
      </c>
      <c r="P23" s="145" t="s">
        <v>22</v>
      </c>
      <c r="Q23" s="145" t="s">
        <v>22</v>
      </c>
      <c r="R23" s="147" t="s">
        <v>81</v>
      </c>
      <c r="S23" s="148" t="str">
        <f t="shared" si="0"/>
        <v>Phạm Ngọc Cát</v>
      </c>
      <c r="T23" s="148">
        <f t="shared" si="1"/>
        <v>37</v>
      </c>
      <c r="U23" s="148">
        <f t="shared" si="2"/>
        <v>22.569444444444446</v>
      </c>
    </row>
    <row r="24" spans="1:21" s="148" customFormat="1" ht="16.8">
      <c r="A24" s="138">
        <v>15</v>
      </c>
      <c r="B24" s="139" t="s">
        <v>348</v>
      </c>
      <c r="C24" s="140" t="s">
        <v>349</v>
      </c>
      <c r="D24" s="151">
        <v>45068</v>
      </c>
      <c r="E24" s="142" t="s">
        <v>189</v>
      </c>
      <c r="F24" s="150"/>
      <c r="G24" s="144">
        <v>13.7</v>
      </c>
      <c r="H24" s="145" t="str">
        <f>IF(DATEDIF(D24,DATE($X$4,$W$4,$V$4),"m")&lt;=60,LOOKUP(2,1/(G24&gt;=INDEX(IF(E24="x",CNTT!$B$4:$E$64,CNTT!$F$4:$I$64),MATCH(DATEDIF(D24,DATE($X$4,$W$4,$V$4),"m"),CNTT!$A$4:$A$64,0),0)),CNTT!$B$3:$E$3),LOOKUP(2,1/(G24&gt;=INDEX(IF(E24="x",CNTT!$B$70:$E$93,CNTT!$F$70:$I$93),MATCH(DATEDIF(D24,DATE($X$4,$W$4,$V$4),"m"),CNTT!$A$70:$A$93,0),0)),CNTT!$B$69:$E$69))</f>
        <v>bt</v>
      </c>
      <c r="I24" s="145">
        <v>99</v>
      </c>
      <c r="J24" s="146" t="str">
        <f>IF(DATEDIF(D24,DATE($X$4,$W$4,$V$4),"m")&lt;=60,LOOKUP(2,1/(I24&gt;=INDEX(IF(E24="x",CCTT!$B$4:$E$64,CCTT!$F$4:$I$64),MATCH(DATEDIF(D24,DATE($X$4,$W$4,$V$4),"m"),CCTT!$A$4:$A$64,0),0)),CCTT!$B$3:$E$3),LOOKUP(2,1/(I24&gt;=INDEX(IF(E24="x",CCTT!$B$70:$E$93,CCTT!$F$70:$I$93),MATCH(DATEDIF(D24,DATE($X$4,$W$4,$V$4),"m"),CCTT!$A$70:$A$93,0),0)),CCTT!B$69:E$69))</f>
        <v>bt</v>
      </c>
      <c r="K24" s="146" t="str">
        <f>IF(DATEDIF(D24,DATE($X$4,$W$4,$V$4),"m")&lt;24,LOOKUP(2,1/(G24&gt;=INDEX(IF(E24="x",CNTCC!$B$4:$F$134,CNTCC!$F$4),MATCH(I24,CNTCC!$A$4:$A$134,0),0)),CNTCC!$B$3:$F$3),IF(AND(DATEDIF(D24,DATE($X$4,$W$4,$V$4),"m")&gt;=24,DATEDIF(D24,DATE($X$4,$W$4,$V$4),"m")&lt;=60),LOOKUP(2,1/(G24&gt;=INDEX(IF(E24="x",CNTCC!$B$141:$F$251,CNTCC!$G$141:$K$251),MATCH(I24,CNTCC!$A$141:$A$251,0),0)),CNTCC!$B$140:$F$140),0))</f>
        <v>bt</v>
      </c>
      <c r="L24" s="145" t="s">
        <v>22</v>
      </c>
      <c r="M24" s="155" t="s">
        <v>51</v>
      </c>
      <c r="N24" s="145" t="s">
        <v>22</v>
      </c>
      <c r="O24" s="145" t="s">
        <v>22</v>
      </c>
      <c r="P24" s="145" t="s">
        <v>22</v>
      </c>
      <c r="Q24" s="145" t="s">
        <v>22</v>
      </c>
      <c r="R24" s="147" t="s">
        <v>57</v>
      </c>
      <c r="S24" s="148" t="str">
        <f t="shared" si="0"/>
        <v>Ng. Trần Minh</v>
      </c>
      <c r="T24" s="148">
        <f t="shared" si="1"/>
        <v>39</v>
      </c>
      <c r="U24" s="148">
        <f t="shared" si="2"/>
        <v>13.978165493317007</v>
      </c>
    </row>
    <row r="25" spans="1:21" s="148" customFormat="1" ht="16.8">
      <c r="A25" s="138">
        <v>16</v>
      </c>
      <c r="B25" s="139" t="s">
        <v>350</v>
      </c>
      <c r="C25" s="140" t="s">
        <v>351</v>
      </c>
      <c r="D25" s="151">
        <v>44974</v>
      </c>
      <c r="E25" s="142" t="s">
        <v>189</v>
      </c>
      <c r="F25" s="150"/>
      <c r="G25" s="144">
        <v>20.2</v>
      </c>
      <c r="H25" s="145" t="s">
        <v>25</v>
      </c>
      <c r="I25" s="145">
        <v>105</v>
      </c>
      <c r="J25" s="146" t="str">
        <f>IF(DATEDIF(D25,DATE($X$4,$W$4,$V$4),"m")&lt;=60,LOOKUP(2,1/(I25&gt;=INDEX(IF(E25="x",CCTT!$B$4:$E$64,CCTT!$F$4:$I$64),MATCH(DATEDIF(D25,DATE($X$4,$W$4,$V$4),"m"),CCTT!$A$4:$A$64,0),0)),CCTT!$B$3:$E$3),LOOKUP(2,1/(I25&gt;=INDEX(IF(E25="x",CCTT!$B$70:$E$93,CCTT!$F$70:$I$93),MATCH(DATEDIF(D25,DATE($X$4,$W$4,$V$4),"m"),CCTT!$A$70:$A$93,0),0)),CCTT!B$69:E$69))</f>
        <v>bt</v>
      </c>
      <c r="K25" s="156" t="str">
        <f>IF(DATEDIF(D25,DATE($X$4,$W$4,$V$4),"m")&lt;24,LOOKUP(2,1/(G25&gt;=INDEX(IF(E25="x",CNTCC!$B$4:$F$134,CNTCC!$F$4),MATCH(I25,CNTCC!$A$4:$A$134,0),0)),CNTCC!$B$3:$F$3),IF(AND(DATEDIF(D25,DATE($X$4,$W$4,$V$4),"m")&gt;=24,DATEDIF(D25,DATE($X$4,$W$4,$V$4),"m")&lt;=60),LOOKUP(2,1/(G25&gt;=INDEX(IF(E25="x",CNTCC!$B$141:$F$251,CNTCC!$G$141:$K$251),MATCH(I25,CNTCC!$A$141:$A$251,0),0)),CNTCC!$B$140:$F$140),0))</f>
        <v>TC</v>
      </c>
      <c r="L25" s="145" t="s">
        <v>22</v>
      </c>
      <c r="M25" s="145" t="s">
        <v>22</v>
      </c>
      <c r="N25" s="145" t="s">
        <v>22</v>
      </c>
      <c r="O25" s="145" t="s">
        <v>22</v>
      </c>
      <c r="P25" s="145" t="s">
        <v>22</v>
      </c>
      <c r="Q25" s="145" t="s">
        <v>22</v>
      </c>
      <c r="R25" s="147" t="s">
        <v>57</v>
      </c>
      <c r="S25" s="148" t="str">
        <f t="shared" si="0"/>
        <v>Hoàng Khôi</v>
      </c>
      <c r="T25" s="148">
        <f t="shared" si="1"/>
        <v>42</v>
      </c>
      <c r="U25" s="148">
        <f t="shared" si="2"/>
        <v>18.321995464852606</v>
      </c>
    </row>
    <row r="26" spans="1:21" ht="16.8">
      <c r="A26" s="68"/>
      <c r="B26" s="74"/>
      <c r="C26" s="69"/>
      <c r="D26" s="75"/>
      <c r="E26" s="70"/>
      <c r="F26" s="70"/>
      <c r="G26" s="70"/>
      <c r="H26" s="71"/>
      <c r="I26" s="70"/>
      <c r="J26" s="94"/>
      <c r="K26" s="94"/>
      <c r="L26" s="71"/>
      <c r="M26" s="76"/>
      <c r="N26" s="71"/>
      <c r="O26" s="71"/>
      <c r="P26" s="71"/>
      <c r="Q26" s="71"/>
      <c r="R26" s="73"/>
    </row>
    <row r="27" spans="1:21" s="3" customFormat="1">
      <c r="A27" s="93"/>
      <c r="C27" s="13"/>
      <c r="D27" s="13" t="s">
        <v>24</v>
      </c>
      <c r="E27" s="13"/>
      <c r="F27" s="13"/>
      <c r="G27" s="14"/>
      <c r="H27" s="14"/>
      <c r="I27" s="14"/>
      <c r="J27" s="14"/>
      <c r="K27" s="14"/>
      <c r="L27" s="15"/>
      <c r="M27" s="15"/>
      <c r="N27" s="15"/>
      <c r="O27" s="15"/>
      <c r="P27" s="15"/>
      <c r="Q27" s="15"/>
      <c r="R27" s="14"/>
    </row>
    <row r="28" spans="1:21" s="3" customFormat="1">
      <c r="B28" s="15"/>
      <c r="C28" s="15"/>
      <c r="D28" s="15"/>
      <c r="E28" s="15"/>
      <c r="F28" s="15"/>
      <c r="G28" s="14"/>
      <c r="H28" s="14"/>
      <c r="I28" s="14"/>
      <c r="J28" s="14"/>
      <c r="K28" s="14"/>
      <c r="L28" s="15"/>
      <c r="M28" s="15"/>
      <c r="N28" s="15"/>
      <c r="O28" s="15"/>
      <c r="P28" s="15"/>
      <c r="Q28" s="15"/>
      <c r="R28" s="14"/>
    </row>
    <row r="29" spans="1:21" s="3" customFormat="1">
      <c r="A29" s="16" t="s">
        <v>25</v>
      </c>
      <c r="C29" s="15" t="s">
        <v>26</v>
      </c>
      <c r="D29" s="15"/>
      <c r="E29" s="15"/>
      <c r="F29" s="15"/>
      <c r="G29" s="14"/>
      <c r="H29" s="14"/>
      <c r="I29" s="16" t="s">
        <v>27</v>
      </c>
      <c r="J29" s="15"/>
      <c r="K29" s="15"/>
      <c r="L29" s="15" t="s">
        <v>28</v>
      </c>
      <c r="M29" s="15"/>
      <c r="N29" s="15"/>
      <c r="O29" s="15"/>
      <c r="P29" s="15"/>
      <c r="Q29" s="15"/>
      <c r="R29" s="14"/>
    </row>
    <row r="30" spans="1:21" s="3" customFormat="1">
      <c r="A30" s="16" t="s">
        <v>29</v>
      </c>
      <c r="C30" s="15" t="s">
        <v>30</v>
      </c>
      <c r="D30" s="15"/>
      <c r="E30" s="15"/>
      <c r="F30" s="15"/>
      <c r="G30" s="14"/>
      <c r="H30" s="14"/>
      <c r="I30" s="16" t="s">
        <v>31</v>
      </c>
      <c r="J30" s="15"/>
      <c r="K30" s="15"/>
      <c r="L30" s="15" t="s">
        <v>32</v>
      </c>
      <c r="M30" s="15"/>
      <c r="N30" s="15"/>
      <c r="O30" s="15"/>
      <c r="P30" s="15"/>
      <c r="Q30" s="15"/>
      <c r="R30" s="14"/>
    </row>
    <row r="31" spans="1:21" s="3" customFormat="1">
      <c r="A31" s="16" t="s">
        <v>33</v>
      </c>
      <c r="C31" s="15" t="s">
        <v>34</v>
      </c>
      <c r="D31" s="15"/>
      <c r="E31" s="15"/>
      <c r="F31" s="15"/>
      <c r="G31" s="14"/>
      <c r="H31" s="14"/>
      <c r="I31" s="16" t="s">
        <v>35</v>
      </c>
      <c r="J31" s="15"/>
      <c r="K31" s="15"/>
      <c r="L31" s="15" t="s">
        <v>36</v>
      </c>
      <c r="M31" s="15"/>
      <c r="N31" s="15"/>
      <c r="O31" s="15"/>
      <c r="P31" s="15"/>
      <c r="Q31" s="15"/>
      <c r="R31" s="14"/>
    </row>
    <row r="32" spans="1:21" s="3" customFormat="1">
      <c r="A32" s="16" t="s">
        <v>37</v>
      </c>
      <c r="C32" s="15" t="s">
        <v>38</v>
      </c>
      <c r="D32" s="15"/>
      <c r="E32" s="15"/>
      <c r="F32" s="15"/>
      <c r="G32" s="14"/>
      <c r="H32" s="14"/>
      <c r="I32" s="16" t="s">
        <v>39</v>
      </c>
      <c r="J32" s="15"/>
      <c r="K32" s="15"/>
      <c r="L32" s="15" t="s">
        <v>40</v>
      </c>
      <c r="M32" s="15"/>
      <c r="N32" s="15"/>
      <c r="O32" s="15"/>
      <c r="P32" s="15"/>
      <c r="Q32" s="15"/>
      <c r="R32" s="14"/>
    </row>
    <row r="33" spans="1:18">
      <c r="A33" s="16" t="s">
        <v>41</v>
      </c>
      <c r="C33" s="15" t="s">
        <v>42</v>
      </c>
      <c r="D33" s="15"/>
      <c r="E33" s="15"/>
      <c r="F33" s="15"/>
      <c r="G33" s="14"/>
      <c r="H33" s="14"/>
      <c r="I33" s="16" t="s">
        <v>43</v>
      </c>
      <c r="J33" s="15"/>
      <c r="K33" s="15"/>
      <c r="L33" s="15" t="s">
        <v>44</v>
      </c>
      <c r="M33" s="15"/>
      <c r="N33" s="15"/>
      <c r="O33" s="15"/>
      <c r="P33" s="15"/>
      <c r="Q33" s="15"/>
      <c r="R33" s="14"/>
    </row>
    <row r="34" spans="1:18">
      <c r="A34" s="4" t="s">
        <v>45</v>
      </c>
      <c r="C34" s="3" t="s">
        <v>46</v>
      </c>
      <c r="I34" s="5" t="s">
        <v>47</v>
      </c>
      <c r="L34" s="4" t="s">
        <v>48</v>
      </c>
    </row>
    <row r="35" spans="1:18">
      <c r="A35" s="4" t="s">
        <v>49</v>
      </c>
      <c r="C35" s="3" t="s">
        <v>50</v>
      </c>
      <c r="I35" s="5" t="s">
        <v>51</v>
      </c>
      <c r="L35" s="4" t="s">
        <v>52</v>
      </c>
    </row>
    <row r="36" spans="1:18">
      <c r="A36" s="4" t="s">
        <v>53</v>
      </c>
      <c r="C36" s="3" t="s">
        <v>54</v>
      </c>
      <c r="I36" s="5" t="s">
        <v>55</v>
      </c>
      <c r="L36" s="4" t="s">
        <v>56</v>
      </c>
    </row>
  </sheetData>
  <autoFilter ref="A9:WWA25"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6B9A-0C17-4432-BB50-BBDCA7BF600E}">
  <sheetPr>
    <tabColor rgb="FF92D050"/>
  </sheetPr>
  <dimension ref="A1:AK33"/>
  <sheetViews>
    <sheetView zoomScale="79" zoomScaleNormal="79" zoomScaleSheetLayoutView="100" workbookViewId="0">
      <pane ySplit="9" topLeftCell="A10" activePane="bottomLeft" state="frozen"/>
      <selection activeCell="T34" sqref="T34"/>
      <selection pane="bottomLeft" activeCell="E20" activeCellId="3" sqref="B15:C15 B20:C20 E15:F15 E20:F20"/>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305</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16.8">
      <c r="A10" s="138">
        <v>1</v>
      </c>
      <c r="B10" s="139" t="s">
        <v>289</v>
      </c>
      <c r="C10" s="140" t="s">
        <v>158</v>
      </c>
      <c r="D10" s="141">
        <v>45269</v>
      </c>
      <c r="E10" s="142" t="s">
        <v>189</v>
      </c>
      <c r="F10" s="143"/>
      <c r="G10" s="144">
        <v>12.1</v>
      </c>
      <c r="H10" s="145" t="str">
        <f>IF(DATEDIF(D10,DATE($X$4,$W$4,$V$4),"m")&lt;=60,LOOKUP(2,1/(G10&gt;=INDEX(IF(E10="x",CNTT!$B$4:$E$64,CNTT!$F$4:$I$64),MATCH(DATEDIF(D10,DATE($X$4,$W$4,$V$4),"m"),CNTT!$A$4:$A$64,0),0)),CNTT!$B$3:$E$3),LOOKUP(2,1/(G10&gt;=INDEX(IF(E10="x",CNTT!$B$70:$E$93,CNTT!$F$70:$I$93),MATCH(DATEDIF(D10,DATE($X$4,$W$4,$V$4),"m"),CNTT!$A$70:$A$93,0),0)),CNTT!$B$69:$E$69))</f>
        <v>bt</v>
      </c>
      <c r="I10" s="145">
        <v>94</v>
      </c>
      <c r="J10" s="146" t="str">
        <f>IF(DATEDIF(D10,DATE($X$4,$W$4,$V$4),"m")&lt;=60,LOOKUP(2,1/(I10&gt;=INDEX(IF(E10="x",CCTT!$B$4:$E$64,CCTT!$F$4:$I$64),MATCH(DATEDIF(D10,DATE($X$4,$W$4,$V$4),"m"),CCTT!$A$4:$A$64,0),0)),CCTT!$B$3:$E$3),LOOKUP(2,1/(I10&gt;=INDEX(IF(E10="x",CCTT!$B$70:$E$93,CCTT!$F$70:$I$93),MATCH(DATEDIF(D10,DATE($X$4,$W$4,$V$4),"m"),CCTT!$A$70:$A$93,0),0)),CCTT!B$69:E$69))</f>
        <v>bt</v>
      </c>
      <c r="K10" s="146" t="str">
        <f>IF(DATEDIF(D10,DATE($X$4,$W$4,$V$4),"m")&lt;24,LOOKUP(2,1/(G10&gt;=INDEX(IF(E10="x",CNTCC!$B$4:$F$134,CNTCC!$F$4),MATCH(I10,CNTCC!$A$4:$A$134,0),0)),CNTCC!$B$3:$F$3),IF(AND(DATEDIF(D10,DATE($X$4,$W$4,$V$4),"m")&gt;=24,DATEDIF(D10,DATE($X$4,$W$4,$V$4),"m")&lt;=60),LOOKUP(2,1/(G10&gt;=INDEX(IF(E10="x",CNTCC!$B$141:$F$251,CNTCC!$G$141:$K$251),MATCH(I10,CNTCC!$A$141:$A$251,0),0)),CNTCC!$B$140:$F$140),0))</f>
        <v>bt</v>
      </c>
      <c r="L10" s="145" t="s">
        <v>22</v>
      </c>
      <c r="M10" s="145" t="s">
        <v>22</v>
      </c>
      <c r="N10" s="145" t="s">
        <v>22</v>
      </c>
      <c r="O10" s="145" t="s">
        <v>22</v>
      </c>
      <c r="P10" s="145" t="s">
        <v>22</v>
      </c>
      <c r="Q10" s="145" t="s">
        <v>22</v>
      </c>
      <c r="R10" s="147" t="s">
        <v>23</v>
      </c>
      <c r="S10" s="148" t="str">
        <f>PROPER(B10)</f>
        <v>Đoàn Hải</v>
      </c>
      <c r="T10" s="148">
        <f>DATEDIF(D10,DATE($X$4,$W$4,$V$4),"m")</f>
        <v>32</v>
      </c>
      <c r="U10" s="148">
        <f>G10/(I10/100)^2</f>
        <v>13.693979176097782</v>
      </c>
      <c r="W10" s="145"/>
      <c r="Y10" s="146">
        <f>COUNTIF(H10:H22,Y9)</f>
        <v>13</v>
      </c>
      <c r="Z10" s="146">
        <f>COUNTIF(H10:H22,Z9)</f>
        <v>0</v>
      </c>
      <c r="AA10" s="146">
        <f>COUNTIF(H10:H22,AA9)</f>
        <v>0</v>
      </c>
      <c r="AB10" s="146">
        <f>COUNTIF(J10:J22,AB9)</f>
        <v>13</v>
      </c>
      <c r="AC10" s="146">
        <f>COUNTIF(J10:J22,AC9)</f>
        <v>0</v>
      </c>
      <c r="AD10" s="146">
        <f>COUNTIF(J10:J22,AD9)</f>
        <v>0</v>
      </c>
      <c r="AE10" s="146">
        <f>COUNTIF(K10:K22,AE9)</f>
        <v>13</v>
      </c>
      <c r="AF10" s="146">
        <f>COUNTIF(K10:K22,AF9)</f>
        <v>0</v>
      </c>
      <c r="AG10" s="146">
        <f>COUNTIF(K10:K22,AG9)</f>
        <v>0</v>
      </c>
      <c r="AH10" s="146">
        <f>COUNTIF(K10:K22,AH9)</f>
        <v>0</v>
      </c>
      <c r="AI10" s="146">
        <f>COUNTIF(R10:R22,AI9)</f>
        <v>11</v>
      </c>
      <c r="AJ10" s="146">
        <f>COUNTIF(R10:R22,AJ9)</f>
        <v>2</v>
      </c>
      <c r="AK10" s="146">
        <f>COUNTIF(R10:R22,AK9)</f>
        <v>0</v>
      </c>
    </row>
    <row r="11" spans="1:37" s="148" customFormat="1" ht="16.8">
      <c r="A11" s="138">
        <v>2</v>
      </c>
      <c r="B11" s="139" t="s">
        <v>290</v>
      </c>
      <c r="C11" s="149" t="s">
        <v>158</v>
      </c>
      <c r="D11" s="141">
        <v>45132</v>
      </c>
      <c r="E11" s="142"/>
      <c r="F11" s="150" t="s">
        <v>189</v>
      </c>
      <c r="G11" s="144">
        <v>15.9</v>
      </c>
      <c r="H11" s="145" t="str">
        <f>IF(DATEDIF(D11,DATE($X$4,$W$4,$V$4),"m")&lt;=60,LOOKUP(2,1/(G11&gt;=INDEX(IF(E11="x",CNTT!$B$4:$E$64,CNTT!$F$4:$I$64),MATCH(DATEDIF(D11,DATE($X$4,$W$4,$V$4),"m"),CNTT!$A$4:$A$64,0),0)),CNTT!$B$3:$E$3),LOOKUP(2,1/(G11&gt;=INDEX(IF(E11="x",CNTT!$B$70:$E$93,CNTT!$F$70:$I$93),MATCH(DATEDIF(D11,DATE($X$4,$W$4,$V$4),"m"),CNTT!$A$70:$A$93,0),0)),CNTT!$B$69:$E$69))</f>
        <v>bt</v>
      </c>
      <c r="I11" s="145">
        <v>97</v>
      </c>
      <c r="J11" s="146" t="str">
        <f>IF(DATEDIF(D11,DATE($X$4,$W$4,$V$4),"m")&lt;=60,LOOKUP(2,1/(I11&gt;=INDEX(IF(E11="x",CCTT!$B$4:$E$64,CCTT!$F$4:$I$64),MATCH(DATEDIF(D11,DATE($X$4,$W$4,$V$4),"m"),CCTT!$A$4:$A$64,0),0)),CCTT!$B$3:$E$3),LOOKUP(2,1/(I11&gt;=INDEX(IF(E11="x",CCTT!$B$70:$E$93,CCTT!$F$70:$I$93),MATCH(DATEDIF(D11,DATE($X$4,$W$4,$V$4),"m"),CCTT!$A$70:$A$93,0),0)),CCTT!B$69:E$69))</f>
        <v>bt</v>
      </c>
      <c r="K11" s="146" t="str">
        <f>IF(DATEDIF(D11,DATE($X$4,$W$4,$V$4),"m")&lt;24,LOOKUP(2,1/(G11&gt;=INDEX(IF(E11="x",CNTCC!$B$4:$F$134,CNTCC!$F$4),MATCH(I11,CNTCC!$A$4:$A$134,0),0)),CNTCC!$B$3:$F$3),IF(AND(DATEDIF(D11,DATE($X$4,$W$4,$V$4),"m")&gt;=24,DATEDIF(D11,DATE($X$4,$W$4,$V$4),"m")&lt;=60),LOOKUP(2,1/(G11&gt;=INDEX(IF(E11="x",CNTCC!$B$141:$F$251,CNTCC!$G$141:$K$251),MATCH(I11,CNTCC!$A$141:$A$251,0),0)),CNTCC!$B$140:$F$140),0))</f>
        <v>bt</v>
      </c>
      <c r="L11" s="145" t="s">
        <v>22</v>
      </c>
      <c r="M11" s="145" t="s">
        <v>22</v>
      </c>
      <c r="N11" s="145" t="s">
        <v>22</v>
      </c>
      <c r="O11" s="145" t="s">
        <v>22</v>
      </c>
      <c r="P11" s="145" t="s">
        <v>22</v>
      </c>
      <c r="Q11" s="145" t="s">
        <v>22</v>
      </c>
      <c r="R11" s="147" t="s">
        <v>23</v>
      </c>
      <c r="S11" s="148" t="str">
        <f t="shared" ref="S11:S22" si="0">PROPER(B11)</f>
        <v>Trần Ngọc Hoàng</v>
      </c>
      <c r="T11" s="148">
        <f t="shared" ref="T11:T22" si="1">DATEDIF(D11,DATE($X$4,$W$4,$V$4),"m")</f>
        <v>37</v>
      </c>
      <c r="U11" s="148">
        <f t="shared" ref="U11:U22" si="2">G11/(I11/100)^2</f>
        <v>16.89871399723669</v>
      </c>
      <c r="Y11" s="148">
        <f>SUM(Y10:AA10)</f>
        <v>13</v>
      </c>
    </row>
    <row r="12" spans="1:37" s="148" customFormat="1" ht="16.8">
      <c r="A12" s="138">
        <v>3</v>
      </c>
      <c r="B12" s="139" t="s">
        <v>291</v>
      </c>
      <c r="C12" s="149" t="s">
        <v>292</v>
      </c>
      <c r="D12" s="151">
        <v>45155</v>
      </c>
      <c r="E12" s="142" t="s">
        <v>189</v>
      </c>
      <c r="F12" s="143"/>
      <c r="G12" s="144">
        <v>14.7</v>
      </c>
      <c r="H12" s="145" t="str">
        <f>IF(DATEDIF(D12,DATE($X$4,$W$4,$V$4),"m")&lt;=60,LOOKUP(2,1/(G12&gt;=INDEX(IF(E12="x",CNTT!$B$4:$E$64,CNTT!$F$4:$I$64),MATCH(DATEDIF(D12,DATE($X$4,$W$4,$V$4),"m"),CNTT!$A$4:$A$64,0),0)),CNTT!$B$3:$E$3),LOOKUP(2,1/(G12&gt;=INDEX(IF(E12="x",CNTT!$B$70:$E$93,CNTT!$F$70:$I$93),MATCH(DATEDIF(D12,DATE($X$4,$W$4,$V$4),"m"),CNTT!$A$70:$A$93,0),0)),CNTT!$B$69:$E$69))</f>
        <v>bt</v>
      </c>
      <c r="I12" s="145">
        <v>93</v>
      </c>
      <c r="J12" s="146" t="str">
        <f>IF(DATEDIF(D12,DATE($X$4,$W$4,$V$4),"m")&lt;=60,LOOKUP(2,1/(I12&gt;=INDEX(IF(E12="x",CCTT!$B$4:$E$64,CCTT!$F$4:$I$64),MATCH(DATEDIF(D12,DATE($X$4,$W$4,$V$4),"m"),CCTT!$A$4:$A$64,0),0)),CCTT!$B$3:$E$3),LOOKUP(2,1/(I12&gt;=INDEX(IF(E12="x",CCTT!$B$70:$E$93,CCTT!$F$70:$I$93),MATCH(DATEDIF(D12,DATE($X$4,$W$4,$V$4),"m"),CCTT!$A$70:$A$93,0),0)),CCTT!B$69:E$69))</f>
        <v>bt</v>
      </c>
      <c r="K12" s="146" t="str">
        <f>IF(DATEDIF(D12,DATE($X$4,$W$4,$V$4),"m")&lt;24,LOOKUP(2,1/(G12&gt;=INDEX(IF(E12="x",CNTCC!$B$4:$F$134,CNTCC!$F$4),MATCH(I12,CNTCC!$A$4:$A$134,0),0)),CNTCC!$B$3:$F$3),IF(AND(DATEDIF(D12,DATE($X$4,$W$4,$V$4),"m")&gt;=24,DATEDIF(D12,DATE($X$4,$W$4,$V$4),"m")&lt;=60),LOOKUP(2,1/(G12&gt;=INDEX(IF(E12="x",CNTCC!$B$141:$F$251,CNTCC!$G$141:$K$251),MATCH(I12,CNTCC!$A$141:$A$251,0),0)),CNTCC!$B$140:$F$140),0))</f>
        <v>bt</v>
      </c>
      <c r="L12" s="145" t="s">
        <v>22</v>
      </c>
      <c r="M12" s="145" t="s">
        <v>22</v>
      </c>
      <c r="N12" s="145" t="s">
        <v>22</v>
      </c>
      <c r="O12" s="145" t="s">
        <v>22</v>
      </c>
      <c r="P12" s="145" t="s">
        <v>22</v>
      </c>
      <c r="Q12" s="145" t="s">
        <v>22</v>
      </c>
      <c r="R12" s="147" t="s">
        <v>23</v>
      </c>
      <c r="S12" s="148" t="str">
        <f t="shared" si="0"/>
        <v>Phạm Quốc</v>
      </c>
      <c r="T12" s="148">
        <f t="shared" si="1"/>
        <v>36</v>
      </c>
      <c r="U12" s="148">
        <f t="shared" si="2"/>
        <v>16.996184530003465</v>
      </c>
      <c r="Y12" s="148">
        <f>SUM(AB10:AD10)</f>
        <v>13</v>
      </c>
    </row>
    <row r="13" spans="1:37" s="148" customFormat="1" ht="18" customHeight="1">
      <c r="A13" s="138">
        <v>4</v>
      </c>
      <c r="B13" s="139" t="s">
        <v>293</v>
      </c>
      <c r="C13" s="149" t="s">
        <v>163</v>
      </c>
      <c r="D13" s="151">
        <v>45295</v>
      </c>
      <c r="E13" s="142"/>
      <c r="F13" s="143" t="s">
        <v>189</v>
      </c>
      <c r="G13" s="144">
        <v>14.7</v>
      </c>
      <c r="H13" s="145" t="str">
        <f>IF(DATEDIF(D13,DATE($X$4,$W$4,$V$4),"m")&lt;=60,LOOKUP(2,1/(G13&gt;=INDEX(IF(E13="x",CNTT!$B$4:$E$64,CNTT!$F$4:$I$64),MATCH(DATEDIF(D13,DATE($X$4,$W$4,$V$4),"m"),CNTT!$A$4:$A$64,0),0)),CNTT!$B$3:$E$3),LOOKUP(2,1/(G13&gt;=INDEX(IF(E13="x",CNTT!$B$70:$E$93,CNTT!$F$70:$I$93),MATCH(DATEDIF(D13,DATE($X$4,$W$4,$V$4),"m"),CNTT!$A$70:$A$93,0),0)),CNTT!$B$69:$E$69))</f>
        <v>bt</v>
      </c>
      <c r="I13" s="145">
        <v>93</v>
      </c>
      <c r="J13" s="146" t="str">
        <f>IF(DATEDIF(D13,DATE($X$4,$W$4,$V$4),"m")&lt;=60,LOOKUP(2,1/(I13&gt;=INDEX(IF(E13="x",CCTT!$B$4:$E$64,CCTT!$F$4:$I$64),MATCH(DATEDIF(D13,DATE($X$4,$W$4,$V$4),"m"),CCTT!$A$4:$A$64,0),0)),CCTT!$B$3:$E$3),LOOKUP(2,1/(I13&gt;=INDEX(IF(E13="x",CCTT!$B$70:$E$93,CCTT!$F$70:$I$93),MATCH(DATEDIF(D13,DATE($X$4,$W$4,$V$4),"m"),CCTT!$A$70:$A$93,0),0)),CCTT!B$69:E$69))</f>
        <v>bt</v>
      </c>
      <c r="K13" s="146" t="str">
        <f>IF(DATEDIF(D13,DATE($X$4,$W$4,$V$4),"m")&lt;24,LOOKUP(2,1/(G13&gt;=INDEX(IF(E13="x",CNTCC!$B$4:$F$134,CNTCC!$F$4),MATCH(I13,CNTCC!$A$4:$A$134,0),0)),CNTCC!$B$3:$F$3),IF(AND(DATEDIF(D13,DATE($X$4,$W$4,$V$4),"m")&gt;=24,DATEDIF(D13,DATE($X$4,$W$4,$V$4),"m")&lt;=60),LOOKUP(2,1/(G13&gt;=INDEX(IF(E13="x",CNTCC!$B$141:$F$251,CNTCC!$G$141:$K$251),MATCH(I13,CNTCC!$A$141:$A$251,0),0)),CNTCC!$B$140:$F$140),0))</f>
        <v>bt</v>
      </c>
      <c r="L13" s="145" t="s">
        <v>22</v>
      </c>
      <c r="M13" s="145" t="s">
        <v>22</v>
      </c>
      <c r="N13" s="145" t="s">
        <v>22</v>
      </c>
      <c r="O13" s="145" t="s">
        <v>22</v>
      </c>
      <c r="P13" s="145" t="s">
        <v>22</v>
      </c>
      <c r="Q13" s="145" t="s">
        <v>22</v>
      </c>
      <c r="R13" s="147" t="s">
        <v>23</v>
      </c>
      <c r="S13" s="148" t="str">
        <f t="shared" si="0"/>
        <v>Nguyễn Mai</v>
      </c>
      <c r="T13" s="148">
        <f t="shared" si="1"/>
        <v>31</v>
      </c>
      <c r="U13" s="148">
        <f t="shared" si="2"/>
        <v>16.996184530003465</v>
      </c>
      <c r="Y13" s="148">
        <f>SUM(AE10:AH10)</f>
        <v>13</v>
      </c>
    </row>
    <row r="14" spans="1:37" s="148" customFormat="1" ht="16.8">
      <c r="A14" s="138">
        <v>5</v>
      </c>
      <c r="B14" s="139" t="s">
        <v>294</v>
      </c>
      <c r="C14" s="149" t="s">
        <v>295</v>
      </c>
      <c r="D14" s="151">
        <v>45224</v>
      </c>
      <c r="E14" s="142" t="s">
        <v>189</v>
      </c>
      <c r="F14" s="150"/>
      <c r="G14" s="144">
        <v>14.2</v>
      </c>
      <c r="H14" s="145" t="str">
        <f>IF(DATEDIF(D14,DATE($X$4,$W$4,$V$4),"m")&lt;=60,LOOKUP(2,1/(G14&gt;=INDEX(IF(E14="x",CNTT!$B$4:$E$64,CNTT!$F$4:$I$64),MATCH(DATEDIF(D14,DATE($X$4,$W$4,$V$4),"m"),CNTT!$A$4:$A$64,0),0)),CNTT!$B$3:$E$3),LOOKUP(2,1/(G14&gt;=INDEX(IF(E14="x",CNTT!$B$70:$E$93,CNTT!$F$70:$I$93),MATCH(DATEDIF(D14,DATE($X$4,$W$4,$V$4),"m"),CNTT!$A$70:$A$93,0),0)),CNTT!$B$69:$E$69))</f>
        <v>bt</v>
      </c>
      <c r="I14" s="145">
        <v>96</v>
      </c>
      <c r="J14" s="146" t="str">
        <f>IF(DATEDIF(D14,DATE($X$4,$W$4,$V$4),"m")&lt;=60,LOOKUP(2,1/(I14&gt;=INDEX(IF(E14="x",CCTT!$B$4:$E$64,CCTT!$F$4:$I$64),MATCH(DATEDIF(D14,DATE($X$4,$W$4,$V$4),"m"),CCTT!$A$4:$A$64,0),0)),CCTT!$B$3:$E$3),LOOKUP(2,1/(I14&gt;=INDEX(IF(E14="x",CCTT!$B$70:$E$93,CCTT!$F$70:$I$93),MATCH(DATEDIF(D14,DATE($X$4,$W$4,$V$4),"m"),CCTT!$A$70:$A$93,0),0)),CCTT!B$69:E$69))</f>
        <v>bt</v>
      </c>
      <c r="K14" s="146" t="str">
        <f>IF(DATEDIF(D14,DATE($X$4,$W$4,$V$4),"m")&lt;24,LOOKUP(2,1/(G14&gt;=INDEX(IF(E14="x",CNTCC!$B$4:$F$134,CNTCC!$F$4),MATCH(I14,CNTCC!$A$4:$A$134,0),0)),CNTCC!$B$3:$F$3),IF(AND(DATEDIF(D14,DATE($X$4,$W$4,$V$4),"m")&gt;=24,DATEDIF(D14,DATE($X$4,$W$4,$V$4),"m")&lt;=60),LOOKUP(2,1/(G14&gt;=INDEX(IF(E14="x",CNTCC!$B$141:$F$251,CNTCC!$G$141:$K$251),MATCH(I14,CNTCC!$A$141:$A$251,0),0)),CNTCC!$B$140:$F$140),0))</f>
        <v>bt</v>
      </c>
      <c r="L14" s="145" t="s">
        <v>22</v>
      </c>
      <c r="M14" s="145" t="s">
        <v>22</v>
      </c>
      <c r="N14" s="145" t="s">
        <v>22</v>
      </c>
      <c r="O14" s="145" t="s">
        <v>22</v>
      </c>
      <c r="P14" s="145" t="s">
        <v>22</v>
      </c>
      <c r="Q14" s="145" t="s">
        <v>22</v>
      </c>
      <c r="R14" s="147" t="s">
        <v>23</v>
      </c>
      <c r="S14" s="148" t="str">
        <f t="shared" si="0"/>
        <v>Ng. Ngọc Minh</v>
      </c>
      <c r="T14" s="148">
        <f t="shared" si="1"/>
        <v>34</v>
      </c>
      <c r="U14" s="148">
        <f t="shared" si="2"/>
        <v>15.407986111111111</v>
      </c>
      <c r="Y14" s="148">
        <f>SUM(AI10:AK10)</f>
        <v>13</v>
      </c>
    </row>
    <row r="15" spans="1:37" s="148" customFormat="1" ht="16.8">
      <c r="A15" s="138">
        <v>6</v>
      </c>
      <c r="B15" s="139" t="s">
        <v>260</v>
      </c>
      <c r="C15" s="149" t="s">
        <v>275</v>
      </c>
      <c r="D15" s="151">
        <v>45286</v>
      </c>
      <c r="E15" s="142" t="s">
        <v>189</v>
      </c>
      <c r="F15" s="143"/>
      <c r="G15" s="144">
        <v>15.6</v>
      </c>
      <c r="H15" s="145" t="str">
        <f>IF(DATEDIF(D15,DATE($X$4,$W$4,$V$4),"m")&lt;=60,LOOKUP(2,1/(G15&gt;=INDEX(IF(E15="x",CNTT!$B$4:$E$64,CNTT!$F$4:$I$64),MATCH(DATEDIF(D15,DATE($X$4,$W$4,$V$4),"m"),CNTT!$A$4:$A$64,0),0)),CNTT!$B$3:$E$3),LOOKUP(2,1/(G15&gt;=INDEX(IF(E15="x",CNTT!$B$70:$E$93,CNTT!$F$70:$I$93),MATCH(DATEDIF(D15,DATE($X$4,$W$4,$V$4),"m"),CNTT!$A$70:$A$93,0),0)),CNTT!$B$69:$E$69))</f>
        <v>bt</v>
      </c>
      <c r="I15" s="145">
        <v>99</v>
      </c>
      <c r="J15" s="146" t="str">
        <f>IF(DATEDIF(D15,DATE($X$4,$W$4,$V$4),"m")&lt;=60,LOOKUP(2,1/(I15&gt;=INDEX(IF(E15="x",CCTT!$B$4:$E$64,CCTT!$F$4:$I$64),MATCH(DATEDIF(D15,DATE($X$4,$W$4,$V$4),"m"),CCTT!$A$4:$A$64,0),0)),CCTT!$B$3:$E$3),LOOKUP(2,1/(I15&gt;=INDEX(IF(E15="x",CCTT!$B$70:$E$93,CCTT!$F$70:$I$93),MATCH(DATEDIF(D15,DATE($X$4,$W$4,$V$4),"m"),CCTT!$A$70:$A$93,0),0)),CCTT!B$69:E$69))</f>
        <v>bt</v>
      </c>
      <c r="K15" s="146" t="str">
        <f>IF(DATEDIF(D15,DATE($X$4,$W$4,$V$4),"m")&lt;24,LOOKUP(2,1/(G15&gt;=INDEX(IF(E15="x",CNTCC!$B$4:$F$134,CNTCC!$F$4),MATCH(I15,CNTCC!$A$4:$A$134,0),0)),CNTCC!$B$3:$F$3),IF(AND(DATEDIF(D15,DATE($X$4,$W$4,$V$4),"m")&gt;=24,DATEDIF(D15,DATE($X$4,$W$4,$V$4),"m")&lt;=60),LOOKUP(2,1/(G15&gt;=INDEX(IF(E15="x",CNTCC!$B$141:$F$251,CNTCC!$G$141:$K$251),MATCH(I15,CNTCC!$A$141:$A$251,0),0)),CNTCC!$B$140:$F$140),0))</f>
        <v>bt</v>
      </c>
      <c r="L15" s="145" t="s">
        <v>22</v>
      </c>
      <c r="M15" s="155" t="s">
        <v>47</v>
      </c>
      <c r="N15" s="145" t="s">
        <v>22</v>
      </c>
      <c r="O15" s="145" t="s">
        <v>22</v>
      </c>
      <c r="P15" s="145" t="s">
        <v>22</v>
      </c>
      <c r="Q15" s="145" t="s">
        <v>22</v>
      </c>
      <c r="R15" s="147" t="s">
        <v>57</v>
      </c>
      <c r="S15" s="148" t="str">
        <f t="shared" si="0"/>
        <v>Huỳnh Minh</v>
      </c>
      <c r="T15" s="148">
        <f t="shared" si="1"/>
        <v>32</v>
      </c>
      <c r="U15" s="148">
        <f t="shared" si="2"/>
        <v>15.916743189470463</v>
      </c>
    </row>
    <row r="16" spans="1:37" s="148" customFormat="1" ht="16.8">
      <c r="A16" s="138">
        <v>7</v>
      </c>
      <c r="B16" s="139" t="s">
        <v>296</v>
      </c>
      <c r="C16" s="149" t="s">
        <v>155</v>
      </c>
      <c r="D16" s="151">
        <v>45285</v>
      </c>
      <c r="E16" s="142" t="s">
        <v>189</v>
      </c>
      <c r="F16" s="143"/>
      <c r="G16" s="144">
        <v>11.5</v>
      </c>
      <c r="H16" s="145" t="str">
        <f>IF(DATEDIF(D16,DATE($X$4,$W$4,$V$4),"m")&lt;=60,LOOKUP(2,1/(G16&gt;=INDEX(IF(E16="x",CNTT!$B$4:$E$64,CNTT!$F$4:$I$64),MATCH(DATEDIF(D16,DATE($X$4,$W$4,$V$4),"m"),CNTT!$A$4:$A$64,0),0)),CNTT!$B$3:$E$3),LOOKUP(2,1/(G16&gt;=INDEX(IF(E16="x",CNTT!$B$70:$E$93,CNTT!$F$70:$I$93),MATCH(DATEDIF(D16,DATE($X$4,$W$4,$V$4),"m"),CNTT!$A$70:$A$93,0),0)),CNTT!$B$69:$E$69))</f>
        <v>bt</v>
      </c>
      <c r="I16" s="145">
        <v>93</v>
      </c>
      <c r="J16" s="146" t="str">
        <f>IF(DATEDIF(D16,DATE($X$4,$W$4,$V$4),"m")&lt;=60,LOOKUP(2,1/(I16&gt;=INDEX(IF(E16="x",CCTT!$B$4:$E$64,CCTT!$F$4:$I$64),MATCH(DATEDIF(D16,DATE($X$4,$W$4,$V$4),"m"),CCTT!$A$4:$A$64,0),0)),CCTT!$B$3:$E$3),LOOKUP(2,1/(I16&gt;=INDEX(IF(E16="x",CCTT!$B$70:$E$93,CCTT!$F$70:$I$93),MATCH(DATEDIF(D16,DATE($X$4,$W$4,$V$4),"m"),CCTT!$A$70:$A$93,0),0)),CCTT!B$69:E$69))</f>
        <v>bt</v>
      </c>
      <c r="K16" s="146" t="s">
        <v>25</v>
      </c>
      <c r="L16" s="145" t="s">
        <v>22</v>
      </c>
      <c r="M16" s="145" t="s">
        <v>22</v>
      </c>
      <c r="N16" s="145" t="s">
        <v>22</v>
      </c>
      <c r="O16" s="145" t="s">
        <v>22</v>
      </c>
      <c r="P16" s="145" t="s">
        <v>22</v>
      </c>
      <c r="Q16" s="145" t="s">
        <v>22</v>
      </c>
      <c r="R16" s="147" t="s">
        <v>23</v>
      </c>
      <c r="S16" s="148" t="str">
        <f t="shared" si="0"/>
        <v>Lê Anh</v>
      </c>
      <c r="T16" s="148">
        <f t="shared" si="1"/>
        <v>32</v>
      </c>
      <c r="U16" s="148">
        <f t="shared" si="2"/>
        <v>13.29633483639727</v>
      </c>
    </row>
    <row r="17" spans="1:21" s="148" customFormat="1" ht="16.8">
      <c r="A17" s="138">
        <v>8</v>
      </c>
      <c r="B17" s="152" t="s">
        <v>297</v>
      </c>
      <c r="C17" s="153" t="s">
        <v>197</v>
      </c>
      <c r="D17" s="151">
        <v>45193</v>
      </c>
      <c r="E17" s="142"/>
      <c r="F17" s="150" t="s">
        <v>189</v>
      </c>
      <c r="G17" s="144">
        <v>14.4</v>
      </c>
      <c r="H17" s="145" t="str">
        <f>IF(DATEDIF(D17,DATE($X$4,$W$4,$V$4),"m")&lt;=60,LOOKUP(2,1/(G17&gt;=INDEX(IF(E17="x",CNTT!$B$4:$E$64,CNTT!$F$4:$I$64),MATCH(DATEDIF(D17,DATE($X$4,$W$4,$V$4),"m"),CNTT!$A$4:$A$64,0),0)),CNTT!$B$3:$E$3),LOOKUP(2,1/(G17&gt;=INDEX(IF(E17="x",CNTT!$B$70:$E$93,CNTT!$F$70:$I$93),MATCH(DATEDIF(D17,DATE($X$4,$W$4,$V$4),"m"),CNTT!$A$70:$A$93,0),0)),CNTT!$B$69:$E$69))</f>
        <v>bt</v>
      </c>
      <c r="I17" s="145">
        <v>96</v>
      </c>
      <c r="J17" s="146" t="str">
        <f>IF(DATEDIF(D17,DATE($X$4,$W$4,$V$4),"m")&lt;=60,LOOKUP(2,1/(I17&gt;=INDEX(IF(E17="x",CCTT!$B$4:$E$64,CCTT!$F$4:$I$64),MATCH(DATEDIF(D17,DATE($X$4,$W$4,$V$4),"m"),CCTT!$A$4:$A$64,0),0)),CCTT!$B$3:$E$3),LOOKUP(2,1/(I17&gt;=INDEX(IF(E17="x",CCTT!$B$70:$E$93,CCTT!$F$70:$I$93),MATCH(DATEDIF(D17,DATE($X$4,$W$4,$V$4),"m"),CCTT!$A$70:$A$93,0),0)),CCTT!B$69:E$69))</f>
        <v>bt</v>
      </c>
      <c r="K17" s="146" t="str">
        <f>IF(DATEDIF(D17,DATE($X$4,$W$4,$V$4),"m")&lt;24,LOOKUP(2,1/(G17&gt;=INDEX(IF(E17="x",CNTCC!$B$4:$F$134,CNTCC!$F$4),MATCH(I17,CNTCC!$A$4:$A$134,0),0)),CNTCC!$B$3:$F$3),IF(AND(DATEDIF(D17,DATE($X$4,$W$4,$V$4),"m")&gt;=24,DATEDIF(D17,DATE($X$4,$W$4,$V$4),"m")&lt;=60),LOOKUP(2,1/(G17&gt;=INDEX(IF(E17="x",CNTCC!$B$141:$F$251,CNTCC!$G$141:$K$251),MATCH(I17,CNTCC!$A$141:$A$251,0),0)),CNTCC!$B$140:$F$140),0))</f>
        <v>bt</v>
      </c>
      <c r="L17" s="145" t="s">
        <v>22</v>
      </c>
      <c r="M17" s="145" t="s">
        <v>22</v>
      </c>
      <c r="N17" s="145" t="s">
        <v>22</v>
      </c>
      <c r="O17" s="145" t="s">
        <v>22</v>
      </c>
      <c r="P17" s="145" t="s">
        <v>22</v>
      </c>
      <c r="Q17" s="145" t="s">
        <v>22</v>
      </c>
      <c r="R17" s="147" t="s">
        <v>23</v>
      </c>
      <c r="S17" s="148" t="str">
        <f t="shared" si="0"/>
        <v>Nguyễn Hải</v>
      </c>
      <c r="T17" s="148">
        <f t="shared" si="1"/>
        <v>35</v>
      </c>
      <c r="U17" s="148">
        <f t="shared" si="2"/>
        <v>15.625</v>
      </c>
    </row>
    <row r="18" spans="1:21" s="148" customFormat="1" ht="16.8">
      <c r="A18" s="138">
        <v>9</v>
      </c>
      <c r="B18" s="139" t="s">
        <v>298</v>
      </c>
      <c r="C18" s="149" t="s">
        <v>299</v>
      </c>
      <c r="D18" s="154">
        <v>45262</v>
      </c>
      <c r="E18" s="142"/>
      <c r="F18" s="150" t="s">
        <v>189</v>
      </c>
      <c r="G18" s="144">
        <v>12.7</v>
      </c>
      <c r="H18" s="145" t="str">
        <f>IF(DATEDIF(D18,DATE($X$4,$W$4,$V$4),"m")&lt;=60,LOOKUP(2,1/(G18&gt;=INDEX(IF(E18="x",CNTT!$B$4:$E$64,CNTT!$F$4:$I$64),MATCH(DATEDIF(D18,DATE($X$4,$W$4,$V$4),"m"),CNTT!$A$4:$A$64,0),0)),CNTT!$B$3:$E$3),LOOKUP(2,1/(G18&gt;=INDEX(IF(E18="x",CNTT!$B$70:$E$93,CNTT!$F$70:$I$93),MATCH(DATEDIF(D18,DATE($X$4,$W$4,$V$4),"m"),CNTT!$A$70:$A$93,0),0)),CNTT!$B$69:$E$69))</f>
        <v>bt</v>
      </c>
      <c r="I18" s="145">
        <v>93</v>
      </c>
      <c r="J18" s="146" t="str">
        <f>IF(DATEDIF(D18,DATE($X$4,$W$4,$V$4),"m")&lt;=60,LOOKUP(2,1/(I18&gt;=INDEX(IF(E18="x",CCTT!$B$4:$E$64,CCTT!$F$4:$I$64),MATCH(DATEDIF(D18,DATE($X$4,$W$4,$V$4),"m"),CCTT!$A$4:$A$64,0),0)),CCTT!$B$3:$E$3),LOOKUP(2,1/(I18&gt;=INDEX(IF(E18="x",CCTT!$B$70:$E$93,CCTT!$F$70:$I$93),MATCH(DATEDIF(D18,DATE($X$4,$W$4,$V$4),"m"),CCTT!$A$70:$A$93,0),0)),CCTT!B$69:E$69))</f>
        <v>bt</v>
      </c>
      <c r="K18" s="146" t="str">
        <f>IF(DATEDIF(D18,DATE($X$4,$W$4,$V$4),"m")&lt;24,LOOKUP(2,1/(G18&gt;=INDEX(IF(E18="x",CNTCC!$B$4:$F$134,CNTCC!$F$4),MATCH(I18,CNTCC!$A$4:$A$134,0),0)),CNTCC!$B$3:$F$3),IF(AND(DATEDIF(D18,DATE($X$4,$W$4,$V$4),"m")&gt;=24,DATEDIF(D18,DATE($X$4,$W$4,$V$4),"m")&lt;=60),LOOKUP(2,1/(G18&gt;=INDEX(IF(E18="x",CNTCC!$B$141:$F$251,CNTCC!$G$141:$K$251),MATCH(I18,CNTCC!$A$141:$A$251,0),0)),CNTCC!$B$140:$F$140),0))</f>
        <v>bt</v>
      </c>
      <c r="L18" s="145" t="s">
        <v>22</v>
      </c>
      <c r="M18" s="145" t="s">
        <v>22</v>
      </c>
      <c r="N18" s="145" t="s">
        <v>22</v>
      </c>
      <c r="O18" s="145" t="s">
        <v>22</v>
      </c>
      <c r="P18" s="145" t="s">
        <v>22</v>
      </c>
      <c r="Q18" s="145" t="s">
        <v>22</v>
      </c>
      <c r="R18" s="147" t="s">
        <v>23</v>
      </c>
      <c r="S18" s="148" t="str">
        <f t="shared" si="0"/>
        <v>Trần Phan Anh</v>
      </c>
      <c r="T18" s="148">
        <f t="shared" si="1"/>
        <v>32</v>
      </c>
      <c r="U18" s="148">
        <f t="shared" si="2"/>
        <v>14.683778471499593</v>
      </c>
    </row>
    <row r="19" spans="1:21" s="148" customFormat="1" ht="16.8">
      <c r="A19" s="138">
        <v>10</v>
      </c>
      <c r="B19" s="139" t="s">
        <v>300</v>
      </c>
      <c r="C19" s="140" t="s">
        <v>154</v>
      </c>
      <c r="D19" s="151">
        <v>45236</v>
      </c>
      <c r="E19" s="142"/>
      <c r="F19" s="150" t="s">
        <v>189</v>
      </c>
      <c r="G19" s="144">
        <v>10.8</v>
      </c>
      <c r="H19" s="145" t="str">
        <f>IF(DATEDIF(D19,DATE($X$4,$W$4,$V$4),"m")&lt;=60,LOOKUP(2,1/(G19&gt;=INDEX(IF(E19="x",CNTT!$B$4:$E$64,CNTT!$F$4:$I$64),MATCH(DATEDIF(D19,DATE($X$4,$W$4,$V$4),"m"),CNTT!$A$4:$A$64,0),0)),CNTT!$B$3:$E$3),LOOKUP(2,1/(G19&gt;=INDEX(IF(E19="x",CNTT!$B$70:$E$93,CNTT!$F$70:$I$93),MATCH(DATEDIF(D19,DATE($X$4,$W$4,$V$4),"m"),CNTT!$A$70:$A$93,0),0)),CNTT!$B$69:$E$69))</f>
        <v>bt</v>
      </c>
      <c r="I19" s="145">
        <v>87</v>
      </c>
      <c r="J19" s="146" t="str">
        <f>IF(DATEDIF(D19,DATE($X$4,$W$4,$V$4),"m")&lt;=60,LOOKUP(2,1/(I19&gt;=INDEX(IF(E19="x",CCTT!$B$4:$E$64,CCTT!$F$4:$I$64),MATCH(DATEDIF(D19,DATE($X$4,$W$4,$V$4),"m"),CCTT!$A$4:$A$64,0),0)),CCTT!$B$3:$E$3),LOOKUP(2,1/(I19&gt;=INDEX(IF(E19="x",CCTT!$B$70:$E$93,CCTT!$F$70:$I$93),MATCH(DATEDIF(D19,DATE($X$4,$W$4,$V$4),"m"),CCTT!$A$70:$A$93,0),0)),CCTT!B$69:E$69))</f>
        <v>bt</v>
      </c>
      <c r="K19" s="146" t="str">
        <f>IF(DATEDIF(D19,DATE($X$4,$W$4,$V$4),"m")&lt;24,LOOKUP(2,1/(G19&gt;=INDEX(IF(E19="x",CNTCC!$B$4:$F$134,CNTCC!$F$4),MATCH(I19,CNTCC!$A$4:$A$134,0),0)),CNTCC!$B$3:$F$3),IF(AND(DATEDIF(D19,DATE($X$4,$W$4,$V$4),"m")&gt;=24,DATEDIF(D19,DATE($X$4,$W$4,$V$4),"m")&lt;=60),LOOKUP(2,1/(G19&gt;=INDEX(IF(E19="x",CNTCC!$B$141:$F$251,CNTCC!$G$141:$K$251),MATCH(I19,CNTCC!$A$141:$A$251,0),0)),CNTCC!$B$140:$F$140),0))</f>
        <v>bt</v>
      </c>
      <c r="L19" s="145" t="s">
        <v>22</v>
      </c>
      <c r="M19" s="145" t="s">
        <v>22</v>
      </c>
      <c r="N19" s="145" t="s">
        <v>22</v>
      </c>
      <c r="O19" s="145" t="s">
        <v>22</v>
      </c>
      <c r="P19" s="145" t="s">
        <v>22</v>
      </c>
      <c r="Q19" s="145" t="s">
        <v>22</v>
      </c>
      <c r="R19" s="147" t="s">
        <v>23</v>
      </c>
      <c r="S19" s="148" t="str">
        <f t="shared" si="0"/>
        <v>Trần Ngọc Uyên</v>
      </c>
      <c r="T19" s="148">
        <f t="shared" si="1"/>
        <v>33</v>
      </c>
      <c r="U19" s="148">
        <f t="shared" si="2"/>
        <v>14.268727705112962</v>
      </c>
    </row>
    <row r="20" spans="1:21" s="148" customFormat="1" ht="16.8">
      <c r="A20" s="138">
        <v>11</v>
      </c>
      <c r="B20" s="139" t="s">
        <v>301</v>
      </c>
      <c r="C20" s="140" t="s">
        <v>302</v>
      </c>
      <c r="D20" s="151">
        <v>45289</v>
      </c>
      <c r="E20" s="142" t="s">
        <v>189</v>
      </c>
      <c r="F20" s="150"/>
      <c r="G20" s="144">
        <v>15.2</v>
      </c>
      <c r="H20" s="145" t="str">
        <f>IF(DATEDIF(D20,DATE($X$4,$W$4,$V$4),"m")&lt;=60,LOOKUP(2,1/(G20&gt;=INDEX(IF(E20="x",CNTT!$B$4:$E$64,CNTT!$F$4:$I$64),MATCH(DATEDIF(D20,DATE($X$4,$W$4,$V$4),"m"),CNTT!$A$4:$A$64,0),0)),CNTT!$B$3:$E$3),LOOKUP(2,1/(G20&gt;=INDEX(IF(E20="x",CNTT!$B$70:$E$93,CNTT!$F$70:$I$93),MATCH(DATEDIF(D20,DATE($X$4,$W$4,$V$4),"m"),CNTT!$A$70:$A$93,0),0)),CNTT!$B$69:$E$69))</f>
        <v>bt</v>
      </c>
      <c r="I20" s="145">
        <v>93</v>
      </c>
      <c r="J20" s="146" t="str">
        <f>IF(DATEDIF(D20,DATE($X$4,$W$4,$V$4),"m")&lt;=60,LOOKUP(2,1/(I20&gt;=INDEX(IF(E20="x",CCTT!$B$4:$E$64,CCTT!$F$4:$I$64),MATCH(DATEDIF(D20,DATE($X$4,$W$4,$V$4),"m"),CCTT!$A$4:$A$64,0),0)),CCTT!$B$3:$E$3),LOOKUP(2,1/(I20&gt;=INDEX(IF(E20="x",CCTT!$B$70:$E$93,CCTT!$F$70:$I$93),MATCH(DATEDIF(D20,DATE($X$4,$W$4,$V$4),"m"),CCTT!$A$70:$A$93,0),0)),CCTT!B$69:E$69))</f>
        <v>bt</v>
      </c>
      <c r="K20" s="146" t="str">
        <f>IF(DATEDIF(D20,DATE($X$4,$W$4,$V$4),"m")&lt;24,LOOKUP(2,1/(G20&gt;=INDEX(IF(E20="x",CNTCC!$B$4:$F$134,CNTCC!$F$4),MATCH(I20,CNTCC!$A$4:$A$134,0),0)),CNTCC!$B$3:$F$3),IF(AND(DATEDIF(D20,DATE($X$4,$W$4,$V$4),"m")&gt;=24,DATEDIF(D20,DATE($X$4,$W$4,$V$4),"m")&lt;=60),LOOKUP(2,1/(G20&gt;=INDEX(IF(E20="x",CNTCC!$B$141:$F$251,CNTCC!$G$141:$K$251),MATCH(I20,CNTCC!$A$141:$A$251,0),0)),CNTCC!$B$140:$F$140),0))</f>
        <v>bt</v>
      </c>
      <c r="L20" s="145" t="s">
        <v>22</v>
      </c>
      <c r="M20" s="155" t="s">
        <v>51</v>
      </c>
      <c r="N20" s="145" t="s">
        <v>22</v>
      </c>
      <c r="O20" s="145" t="s">
        <v>22</v>
      </c>
      <c r="P20" s="145" t="s">
        <v>22</v>
      </c>
      <c r="Q20" s="145" t="s">
        <v>22</v>
      </c>
      <c r="R20" s="147" t="s">
        <v>57</v>
      </c>
      <c r="S20" s="148" t="str">
        <f t="shared" si="0"/>
        <v>Trần Minh</v>
      </c>
      <c r="T20" s="148">
        <f t="shared" si="1"/>
        <v>32</v>
      </c>
      <c r="U20" s="148">
        <f t="shared" si="2"/>
        <v>17.574286044629435</v>
      </c>
    </row>
    <row r="21" spans="1:21" s="148" customFormat="1" ht="16.8">
      <c r="A21" s="138">
        <v>12</v>
      </c>
      <c r="B21" s="139" t="s">
        <v>303</v>
      </c>
      <c r="C21" s="140" t="s">
        <v>262</v>
      </c>
      <c r="D21" s="151">
        <v>45197</v>
      </c>
      <c r="E21" s="142" t="s">
        <v>189</v>
      </c>
      <c r="F21" s="150"/>
      <c r="G21" s="144">
        <v>12.8</v>
      </c>
      <c r="H21" s="145" t="str">
        <f>IF(DATEDIF(D21,DATE($X$4,$W$4,$V$4),"m")&lt;=60,LOOKUP(2,1/(G21&gt;=INDEX(IF(E21="x",CNTT!$B$4:$E$64,CNTT!$F$4:$I$64),MATCH(DATEDIF(D21,DATE($X$4,$W$4,$V$4),"m"),CNTT!$A$4:$A$64,0),0)),CNTT!$B$3:$E$3),LOOKUP(2,1/(G21&gt;=INDEX(IF(E21="x",CNTT!$B$70:$E$93,CNTT!$F$70:$I$93),MATCH(DATEDIF(D21,DATE($X$4,$W$4,$V$4),"m"),CNTT!$A$70:$A$93,0),0)),CNTT!$B$69:$E$69))</f>
        <v>bt</v>
      </c>
      <c r="I21" s="145">
        <v>92</v>
      </c>
      <c r="J21" s="146" t="str">
        <f>IF(DATEDIF(D21,DATE($X$4,$W$4,$V$4),"m")&lt;=60,LOOKUP(2,1/(I21&gt;=INDEX(IF(E21="x",CCTT!$B$4:$E$64,CCTT!$F$4:$I$64),MATCH(DATEDIF(D21,DATE($X$4,$W$4,$V$4),"m"),CCTT!$A$4:$A$64,0),0)),CCTT!$B$3:$E$3),LOOKUP(2,1/(I21&gt;=INDEX(IF(E21="x",CCTT!$B$70:$E$93,CCTT!$F$70:$I$93),MATCH(DATEDIF(D21,DATE($X$4,$W$4,$V$4),"m"),CCTT!$A$70:$A$93,0),0)),CCTT!B$69:E$69))</f>
        <v>bt</v>
      </c>
      <c r="K21" s="146" t="str">
        <f>IF(DATEDIF(D21,DATE($X$4,$W$4,$V$4),"m")&lt;24,LOOKUP(2,1/(G21&gt;=INDEX(IF(E21="x",CNTCC!$B$4:$F$134,CNTCC!$F$4),MATCH(I21,CNTCC!$A$4:$A$134,0),0)),CNTCC!$B$3:$F$3),IF(AND(DATEDIF(D21,DATE($X$4,$W$4,$V$4),"m")&gt;=24,DATEDIF(D21,DATE($X$4,$W$4,$V$4),"m")&lt;=60),LOOKUP(2,1/(G21&gt;=INDEX(IF(E21="x",CNTCC!$B$141:$F$251,CNTCC!$G$141:$K$251),MATCH(I21,CNTCC!$A$141:$A$251,0),0)),CNTCC!$B$140:$F$140),0))</f>
        <v>bt</v>
      </c>
      <c r="L21" s="145" t="s">
        <v>22</v>
      </c>
      <c r="M21" s="145" t="s">
        <v>22</v>
      </c>
      <c r="N21" s="145" t="s">
        <v>22</v>
      </c>
      <c r="O21" s="145" t="s">
        <v>22</v>
      </c>
      <c r="P21" s="145" t="s">
        <v>22</v>
      </c>
      <c r="Q21" s="145" t="s">
        <v>22</v>
      </c>
      <c r="R21" s="147" t="s">
        <v>23</v>
      </c>
      <c r="S21" s="148" t="str">
        <f t="shared" si="0"/>
        <v>Nguyễn Lê Đình</v>
      </c>
      <c r="T21" s="148">
        <f t="shared" si="1"/>
        <v>35</v>
      </c>
      <c r="U21" s="148">
        <f t="shared" si="2"/>
        <v>15.122873345935728</v>
      </c>
    </row>
    <row r="22" spans="1:21" s="148" customFormat="1" ht="16.8">
      <c r="A22" s="138">
        <v>13</v>
      </c>
      <c r="B22" s="139" t="s">
        <v>304</v>
      </c>
      <c r="C22" s="140" t="s">
        <v>226</v>
      </c>
      <c r="D22" s="151">
        <v>45239</v>
      </c>
      <c r="E22" s="142"/>
      <c r="F22" s="150" t="s">
        <v>189</v>
      </c>
      <c r="G22" s="144">
        <v>14.7</v>
      </c>
      <c r="H22" s="145" t="str">
        <f>IF(DATEDIF(D22,DATE($X$4,$W$4,$V$4),"m")&lt;=60,LOOKUP(2,1/(G22&gt;=INDEX(IF(E22="x",CNTT!$B$4:$E$64,CNTT!$F$4:$I$64),MATCH(DATEDIF(D22,DATE($X$4,$W$4,$V$4),"m"),CNTT!$A$4:$A$64,0),0)),CNTT!$B$3:$E$3),LOOKUP(2,1/(G22&gt;=INDEX(IF(E22="x",CNTT!$B$70:$E$93,CNTT!$F$70:$I$93),MATCH(DATEDIF(D22,DATE($X$4,$W$4,$V$4),"m"),CNTT!$A$70:$A$93,0),0)),CNTT!$B$69:$E$69))</f>
        <v>bt</v>
      </c>
      <c r="I22" s="145">
        <v>93</v>
      </c>
      <c r="J22" s="146" t="str">
        <f>IF(DATEDIF(D22,DATE($X$4,$W$4,$V$4),"m")&lt;=60,LOOKUP(2,1/(I22&gt;=INDEX(IF(E22="x",CCTT!$B$4:$E$64,CCTT!$F$4:$I$64),MATCH(DATEDIF(D22,DATE($X$4,$W$4,$V$4),"m"),CCTT!$A$4:$A$64,0),0)),CCTT!$B$3:$E$3),LOOKUP(2,1/(I22&gt;=INDEX(IF(E22="x",CCTT!$B$70:$E$93,CCTT!$F$70:$I$93),MATCH(DATEDIF(D22,DATE($X$4,$W$4,$V$4),"m"),CCTT!$A$70:$A$93,0),0)),CCTT!B$69:E$69))</f>
        <v>bt</v>
      </c>
      <c r="K22" s="146" t="str">
        <f>IF(DATEDIF(D22,DATE($X$4,$W$4,$V$4),"m")&lt;24,LOOKUP(2,1/(G22&gt;=INDEX(IF(E22="x",CNTCC!$B$4:$F$134,CNTCC!$F$4),MATCH(I22,CNTCC!$A$4:$A$134,0),0)),CNTCC!$B$3:$F$3),IF(AND(DATEDIF(D22,DATE($X$4,$W$4,$V$4),"m")&gt;=24,DATEDIF(D22,DATE($X$4,$W$4,$V$4),"m")&lt;=60),LOOKUP(2,1/(G22&gt;=INDEX(IF(E22="x",CNTCC!$B$141:$F$251,CNTCC!$G$141:$K$251),MATCH(I22,CNTCC!$A$141:$A$251,0),0)),CNTCC!$B$140:$F$140),0))</f>
        <v>bt</v>
      </c>
      <c r="L22" s="145" t="s">
        <v>22</v>
      </c>
      <c r="M22" s="145" t="s">
        <v>22</v>
      </c>
      <c r="N22" s="145" t="s">
        <v>22</v>
      </c>
      <c r="O22" s="145" t="s">
        <v>22</v>
      </c>
      <c r="P22" s="145" t="s">
        <v>22</v>
      </c>
      <c r="Q22" s="145" t="s">
        <v>22</v>
      </c>
      <c r="R22" s="147" t="s">
        <v>23</v>
      </c>
      <c r="S22" s="148" t="str">
        <f t="shared" si="0"/>
        <v>Bùi Bảo</v>
      </c>
      <c r="T22" s="148">
        <f t="shared" si="1"/>
        <v>33</v>
      </c>
      <c r="U22" s="148">
        <f t="shared" si="2"/>
        <v>16.996184530003465</v>
      </c>
    </row>
    <row r="23" spans="1:21" ht="16.8">
      <c r="A23" s="68"/>
      <c r="B23" s="74"/>
      <c r="C23" s="69"/>
      <c r="D23" s="75"/>
      <c r="E23" s="70"/>
      <c r="F23" s="70"/>
      <c r="G23" s="70"/>
      <c r="H23" s="71"/>
      <c r="I23" s="70"/>
      <c r="J23" s="94"/>
      <c r="K23" s="94"/>
      <c r="L23" s="71"/>
      <c r="M23" s="76"/>
      <c r="N23" s="71"/>
      <c r="O23" s="71"/>
      <c r="P23" s="71"/>
      <c r="Q23" s="71"/>
      <c r="R23" s="73"/>
    </row>
    <row r="24" spans="1:21" s="3" customFormat="1">
      <c r="A24" s="93"/>
      <c r="C24" s="13"/>
      <c r="D24" s="13" t="s">
        <v>24</v>
      </c>
      <c r="E24" s="13"/>
      <c r="F24" s="13"/>
      <c r="G24" s="14"/>
      <c r="H24" s="14"/>
      <c r="I24" s="14"/>
      <c r="J24" s="14"/>
      <c r="K24" s="14"/>
      <c r="L24" s="15"/>
      <c r="M24" s="15"/>
      <c r="N24" s="15"/>
      <c r="O24" s="15"/>
      <c r="P24" s="15"/>
      <c r="Q24" s="15"/>
      <c r="R24" s="14"/>
    </row>
    <row r="25" spans="1:21" s="3" customFormat="1">
      <c r="B25" s="15"/>
      <c r="C25" s="15"/>
      <c r="D25" s="15"/>
      <c r="E25" s="15"/>
      <c r="F25" s="15"/>
      <c r="G25" s="14"/>
      <c r="H25" s="14"/>
      <c r="I25" s="14"/>
      <c r="J25" s="14"/>
      <c r="K25" s="14"/>
      <c r="L25" s="15"/>
      <c r="M25" s="15"/>
      <c r="N25" s="15"/>
      <c r="O25" s="15"/>
      <c r="P25" s="15"/>
      <c r="Q25" s="15"/>
      <c r="R25" s="14"/>
    </row>
    <row r="26" spans="1:21" s="3" customFormat="1">
      <c r="A26" s="16" t="s">
        <v>25</v>
      </c>
      <c r="C26" s="15" t="s">
        <v>26</v>
      </c>
      <c r="D26" s="15"/>
      <c r="E26" s="15"/>
      <c r="F26" s="15"/>
      <c r="G26" s="14"/>
      <c r="H26" s="14"/>
      <c r="I26" s="16" t="s">
        <v>27</v>
      </c>
      <c r="J26" s="15"/>
      <c r="K26" s="15"/>
      <c r="L26" s="15" t="s">
        <v>28</v>
      </c>
      <c r="M26" s="15"/>
      <c r="N26" s="15"/>
      <c r="O26" s="15"/>
      <c r="P26" s="15"/>
      <c r="Q26" s="15"/>
      <c r="R26" s="14"/>
    </row>
    <row r="27" spans="1:21" s="3" customFormat="1">
      <c r="A27" s="16" t="s">
        <v>29</v>
      </c>
      <c r="C27" s="15" t="s">
        <v>30</v>
      </c>
      <c r="D27" s="15"/>
      <c r="E27" s="15"/>
      <c r="F27" s="15"/>
      <c r="G27" s="14"/>
      <c r="H27" s="14"/>
      <c r="I27" s="16" t="s">
        <v>31</v>
      </c>
      <c r="J27" s="15"/>
      <c r="K27" s="15"/>
      <c r="L27" s="15" t="s">
        <v>32</v>
      </c>
      <c r="M27" s="15"/>
      <c r="N27" s="15"/>
      <c r="O27" s="15"/>
      <c r="P27" s="15"/>
      <c r="Q27" s="15"/>
      <c r="R27" s="14"/>
    </row>
    <row r="28" spans="1:21" s="3" customFormat="1">
      <c r="A28" s="16" t="s">
        <v>33</v>
      </c>
      <c r="C28" s="15" t="s">
        <v>34</v>
      </c>
      <c r="D28" s="15"/>
      <c r="E28" s="15"/>
      <c r="F28" s="15"/>
      <c r="G28" s="14"/>
      <c r="H28" s="14"/>
      <c r="I28" s="16" t="s">
        <v>35</v>
      </c>
      <c r="J28" s="15"/>
      <c r="K28" s="15"/>
      <c r="L28" s="15" t="s">
        <v>36</v>
      </c>
      <c r="M28" s="15"/>
      <c r="N28" s="15"/>
      <c r="O28" s="15"/>
      <c r="P28" s="15"/>
      <c r="Q28" s="15"/>
      <c r="R28" s="14"/>
    </row>
    <row r="29" spans="1:21" s="3" customFormat="1">
      <c r="A29" s="16" t="s">
        <v>37</v>
      </c>
      <c r="C29" s="15" t="s">
        <v>38</v>
      </c>
      <c r="D29" s="15"/>
      <c r="E29" s="15"/>
      <c r="F29" s="15"/>
      <c r="G29" s="14"/>
      <c r="H29" s="14"/>
      <c r="I29" s="16" t="s">
        <v>39</v>
      </c>
      <c r="J29" s="15"/>
      <c r="K29" s="15"/>
      <c r="L29" s="15" t="s">
        <v>40</v>
      </c>
      <c r="M29" s="15"/>
      <c r="N29" s="15"/>
      <c r="O29" s="15"/>
      <c r="P29" s="15"/>
      <c r="Q29" s="15"/>
      <c r="R29" s="14"/>
    </row>
    <row r="30" spans="1:21">
      <c r="A30" s="16" t="s">
        <v>41</v>
      </c>
      <c r="C30" s="15" t="s">
        <v>42</v>
      </c>
      <c r="D30" s="15"/>
      <c r="E30" s="15"/>
      <c r="F30" s="15"/>
      <c r="G30" s="14"/>
      <c r="H30" s="14"/>
      <c r="I30" s="16" t="s">
        <v>43</v>
      </c>
      <c r="J30" s="15"/>
      <c r="K30" s="15"/>
      <c r="L30" s="15" t="s">
        <v>44</v>
      </c>
      <c r="M30" s="15"/>
      <c r="N30" s="15"/>
      <c r="O30" s="15"/>
      <c r="P30" s="15"/>
      <c r="Q30" s="15"/>
      <c r="R30" s="14"/>
    </row>
    <row r="31" spans="1:21">
      <c r="A31" s="4" t="s">
        <v>45</v>
      </c>
      <c r="C31" s="3" t="s">
        <v>46</v>
      </c>
      <c r="I31" s="5" t="s">
        <v>47</v>
      </c>
      <c r="L31" s="4" t="s">
        <v>48</v>
      </c>
    </row>
    <row r="32" spans="1:21">
      <c r="A32" s="4" t="s">
        <v>49</v>
      </c>
      <c r="C32" s="3" t="s">
        <v>50</v>
      </c>
      <c r="I32" s="5" t="s">
        <v>51</v>
      </c>
      <c r="L32" s="4" t="s">
        <v>52</v>
      </c>
    </row>
    <row r="33" spans="1:12">
      <c r="A33" s="4" t="s">
        <v>53</v>
      </c>
      <c r="C33" s="3" t="s">
        <v>54</v>
      </c>
      <c r="I33" s="5" t="s">
        <v>55</v>
      </c>
      <c r="L33" s="4" t="s">
        <v>56</v>
      </c>
    </row>
  </sheetData>
  <autoFilter ref="A9:WWA22"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C0ABD-637F-43CB-B531-94F1B9B4159C}">
  <sheetPr>
    <tabColor rgb="FF92D050"/>
  </sheetPr>
  <dimension ref="A1:AK42"/>
  <sheetViews>
    <sheetView zoomScale="65" zoomScaleNormal="65" zoomScaleSheetLayoutView="100" workbookViewId="0">
      <pane ySplit="9" topLeftCell="A10" activePane="bottomLeft" state="frozen"/>
      <selection activeCell="T34" sqref="T34"/>
      <selection pane="bottomLeft" activeCell="J31" sqref="J31"/>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383</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16.8">
      <c r="A10" s="138">
        <v>1</v>
      </c>
      <c r="B10" s="139" t="s">
        <v>353</v>
      </c>
      <c r="C10" s="140" t="s">
        <v>167</v>
      </c>
      <c r="D10" s="141">
        <v>44646</v>
      </c>
      <c r="E10" s="142"/>
      <c r="F10" s="143" t="s">
        <v>189</v>
      </c>
      <c r="G10" s="144">
        <v>18.600000000000001</v>
      </c>
      <c r="H10" s="145" t="str">
        <f>IF(DATEDIF(D10,DATE($X$4,$W$4,$V$4),"m")&lt;=60,LOOKUP(2,1/(G10&gt;=INDEX(IF(E10="x",CNTT!$B$4:$E$64,CNTT!$F$4:$I$64),MATCH(DATEDIF(D10,DATE($X$4,$W$4,$V$4),"m"),CNTT!$A$4:$A$64,0),0)),CNTT!$B$3:$E$3),LOOKUP(2,1/(G10&gt;=INDEX(IF(E10="x",CNTT!$B$70:$E$93,CNTT!$F$70:$I$93),MATCH(DATEDIF(D10,DATE($X$4,$W$4,$V$4),"m"),CNTT!$A$70:$A$93,0),0)),CNTT!$B$69:$E$69))</f>
        <v>bt</v>
      </c>
      <c r="I10" s="145">
        <v>105</v>
      </c>
      <c r="J10" s="146" t="str">
        <f>IF(DATEDIF(D10,DATE($X$4,$W$4,$V$4),"m")&lt;=60,LOOKUP(2,1/(I10&gt;=INDEX(IF(E10="x",CCTT!$B$4:$E$64,CCTT!$F$4:$I$64),MATCH(DATEDIF(D10,DATE($X$4,$W$4,$V$4),"m"),CCTT!$A$4:$A$64,0),0)),CCTT!$B$3:$E$3),LOOKUP(2,1/(I10&gt;=INDEX(IF(E10="x",CCTT!$B$70:$E$93,CCTT!$F$70:$I$93),MATCH(DATEDIF(D10,DATE($X$4,$W$4,$V$4),"m"),CCTT!$A$70:$A$93,0),0)),CCTT!B$69:E$69))</f>
        <v>bt</v>
      </c>
      <c r="K10" s="146" t="str">
        <f>IF(DATEDIF(D10,DATE($X$4,$W$4,$V$4),"m")&lt;24,LOOKUP(2,1/(G10&gt;=INDEX(IF(E10="x",CNTCC!$B$4:$F$134,CNTCC!$F$4),MATCH(I10,CNTCC!$A$4:$A$134,0),0)),CNTCC!$B$3:$F$3),IF(AND(DATEDIF(D10,DATE($X$4,$W$4,$V$4),"m")&gt;=24,DATEDIF(D10,DATE($X$4,$W$4,$V$4),"m")&lt;=60),LOOKUP(2,1/(G10&gt;=INDEX(IF(E10="x",CNTCC!$B$141:$F$251,CNTCC!$G$141:$K$251),MATCH(I10,CNTCC!$A$141:$A$251,0),0)),CNTCC!$B$140:$F$140),0))</f>
        <v>bt</v>
      </c>
      <c r="L10" s="145" t="s">
        <v>22</v>
      </c>
      <c r="M10" s="145" t="s">
        <v>22</v>
      </c>
      <c r="N10" s="145" t="s">
        <v>22</v>
      </c>
      <c r="O10" s="145" t="s">
        <v>22</v>
      </c>
      <c r="P10" s="145" t="s">
        <v>22</v>
      </c>
      <c r="Q10" s="145" t="s">
        <v>22</v>
      </c>
      <c r="R10" s="147" t="s">
        <v>23</v>
      </c>
      <c r="S10" s="148" t="str">
        <f>PROPER(B10)</f>
        <v>Nguyễn Thiên</v>
      </c>
      <c r="T10" s="148">
        <f>DATEDIF(D10,DATE($X$4,$W$4,$V$4),"m")</f>
        <v>53</v>
      </c>
      <c r="U10" s="148">
        <f>G10/(I10/100)^2</f>
        <v>16.870748299319729</v>
      </c>
      <c r="W10" s="145"/>
      <c r="Y10" s="146">
        <f>COUNTIF(H10:H31,Y9)</f>
        <v>17</v>
      </c>
      <c r="Z10" s="146">
        <f>COUNTIF(H10:H31,Z9)</f>
        <v>1</v>
      </c>
      <c r="AA10" s="146">
        <f>COUNTIF(H10:H31,AA9)</f>
        <v>4</v>
      </c>
      <c r="AB10" s="146">
        <f>COUNTIF(J10:J31,AB9)</f>
        <v>20</v>
      </c>
      <c r="AC10" s="146">
        <f>COUNTIF(J10:J31,AC9)</f>
        <v>1</v>
      </c>
      <c r="AD10" s="146">
        <f>COUNTIF(J10:J31,AD9)</f>
        <v>1</v>
      </c>
      <c r="AE10" s="146">
        <f>COUNTIF(K10:K31,AE9)</f>
        <v>14</v>
      </c>
      <c r="AF10" s="146">
        <f>COUNTIF(K10:K31,AF9)</f>
        <v>3</v>
      </c>
      <c r="AG10" s="146">
        <f>COUNTIF(K10:K31,AG9)</f>
        <v>5</v>
      </c>
      <c r="AH10" s="146">
        <f>COUNTIF(K10:K31,AH9)</f>
        <v>0</v>
      </c>
      <c r="AI10" s="146">
        <f>COUNTIF(R10:R31,AI9)</f>
        <v>10</v>
      </c>
      <c r="AJ10" s="146">
        <f>COUNTIF(R10:R31,AJ9)</f>
        <v>7</v>
      </c>
      <c r="AK10" s="146">
        <f>COUNTIF(R10:R31,AK9)</f>
        <v>5</v>
      </c>
    </row>
    <row r="11" spans="1:37" s="148" customFormat="1" ht="16.8">
      <c r="A11" s="138">
        <v>2</v>
      </c>
      <c r="B11" s="139" t="s">
        <v>354</v>
      </c>
      <c r="C11" s="149" t="s">
        <v>158</v>
      </c>
      <c r="D11" s="141">
        <v>44789</v>
      </c>
      <c r="E11" s="142"/>
      <c r="F11" s="150" t="s">
        <v>189</v>
      </c>
      <c r="G11" s="144">
        <v>14.5</v>
      </c>
      <c r="H11" s="145" t="str">
        <f>IF(DATEDIF(D11,DATE($X$4,$W$4,$V$4),"m")&lt;=60,LOOKUP(2,1/(G11&gt;=INDEX(IF(E11="x",CNTT!$B$4:$E$64,CNTT!$F$4:$I$64),MATCH(DATEDIF(D11,DATE($X$4,$W$4,$V$4),"m"),CNTT!$A$4:$A$64,0),0)),CNTT!$B$3:$E$3),LOOKUP(2,1/(G11&gt;=INDEX(IF(E11="x",CNTT!$B$70:$E$93,CNTT!$F$70:$I$93),MATCH(DATEDIF(D11,DATE($X$4,$W$4,$V$4),"m"),CNTT!$A$70:$A$93,0),0)),CNTT!$B$69:$E$69))</f>
        <v>bt</v>
      </c>
      <c r="I11" s="145">
        <v>100</v>
      </c>
      <c r="J11" s="146" t="str">
        <f>IF(DATEDIF(D11,DATE($X$4,$W$4,$V$4),"m")&lt;=60,LOOKUP(2,1/(I11&gt;=INDEX(IF(E11="x",CCTT!$B$4:$E$64,CCTT!$F$4:$I$64),MATCH(DATEDIF(D11,DATE($X$4,$W$4,$V$4),"m"),CCTT!$A$4:$A$64,0),0)),CCTT!$B$3:$E$3),LOOKUP(2,1/(I11&gt;=INDEX(IF(E11="x",CCTT!$B$70:$E$93,CCTT!$F$70:$I$93),MATCH(DATEDIF(D11,DATE($X$4,$W$4,$V$4),"m"),CCTT!$A$70:$A$93,0),0)),CCTT!B$69:E$69))</f>
        <v>bt</v>
      </c>
      <c r="K11" s="146" t="str">
        <f>IF(DATEDIF(D11,DATE($X$4,$W$4,$V$4),"m")&lt;24,LOOKUP(2,1/(G11&gt;=INDEX(IF(E11="x",CNTCC!$B$4:$F$134,CNTCC!$F$4),MATCH(I11,CNTCC!$A$4:$A$134,0),0)),CNTCC!$B$3:$F$3),IF(AND(DATEDIF(D11,DATE($X$4,$W$4,$V$4),"m")&gt;=24,DATEDIF(D11,DATE($X$4,$W$4,$V$4),"m")&lt;=60),LOOKUP(2,1/(G11&gt;=INDEX(IF(E11="x",CNTCC!$B$141:$F$251,CNTCC!$G$141:$K$251),MATCH(I11,CNTCC!$A$141:$A$251,0),0)),CNTCC!$B$140:$F$140),0))</f>
        <v>bt</v>
      </c>
      <c r="L11" s="145" t="s">
        <v>22</v>
      </c>
      <c r="M11" s="145" t="s">
        <v>22</v>
      </c>
      <c r="N11" s="145" t="s">
        <v>22</v>
      </c>
      <c r="O11" s="145" t="s">
        <v>22</v>
      </c>
      <c r="P11" s="145" t="s">
        <v>22</v>
      </c>
      <c r="Q11" s="145" t="s">
        <v>22</v>
      </c>
      <c r="R11" s="147" t="s">
        <v>23</v>
      </c>
      <c r="S11" s="148" t="str">
        <f t="shared" ref="S11:S31" si="0">PROPER(B11)</f>
        <v>Hà Châu</v>
      </c>
      <c r="T11" s="148">
        <f t="shared" ref="T11:T31" si="1">DATEDIF(D11,DATE($X$4,$W$4,$V$4),"m")</f>
        <v>48</v>
      </c>
      <c r="U11" s="148">
        <f t="shared" ref="U11:U31" si="2">G11/(I11/100)^2</f>
        <v>14.5</v>
      </c>
      <c r="Y11" s="148">
        <f>SUM(Y10:AA10)</f>
        <v>22</v>
      </c>
    </row>
    <row r="12" spans="1:37" s="148" customFormat="1" ht="16.8">
      <c r="A12" s="138">
        <v>3</v>
      </c>
      <c r="B12" s="139" t="s">
        <v>260</v>
      </c>
      <c r="C12" s="149" t="s">
        <v>158</v>
      </c>
      <c r="D12" s="151">
        <v>44878</v>
      </c>
      <c r="E12" s="142"/>
      <c r="F12" s="143" t="s">
        <v>189</v>
      </c>
      <c r="G12" s="144" t="s">
        <v>382</v>
      </c>
      <c r="H12" s="145" t="s">
        <v>25</v>
      </c>
      <c r="I12" s="145">
        <v>98</v>
      </c>
      <c r="J12" s="146" t="str">
        <f>IF(DATEDIF(D12,DATE($X$4,$W$4,$V$4),"m")&lt;=60,LOOKUP(2,1/(I12&gt;=INDEX(IF(E12="x",CCTT!$B$4:$E$64,CCTT!$F$4:$I$64),MATCH(DATEDIF(D12,DATE($X$4,$W$4,$V$4),"m"),CCTT!$A$4:$A$64,0),0)),CCTT!$B$3:$E$3),LOOKUP(2,1/(I12&gt;=INDEX(IF(E12="x",CCTT!$B$70:$E$93,CCTT!$F$70:$I$93),MATCH(DATEDIF(D12,DATE($X$4,$W$4,$V$4),"m"),CCTT!$A$70:$A$93,0),0)),CCTT!B$69:E$69))</f>
        <v>bt</v>
      </c>
      <c r="K12" s="156" t="str">
        <f>IF(DATEDIF(D12,DATE($X$4,$W$4,$V$4),"m")&lt;24,LOOKUP(2,1/(G12&gt;=INDEX(IF(E12="x",CNTCC!$B$4:$F$134,CNTCC!$F$4),MATCH(I12,CNTCC!$A$4:$A$134,0),0)),CNTCC!$B$3:$F$3),IF(AND(DATEDIF(D12,DATE($X$4,$W$4,$V$4),"m")&gt;=24,DATEDIF(D12,DATE($X$4,$W$4,$V$4),"m")&lt;=60),LOOKUP(2,1/(G12&gt;=INDEX(IF(E12="x",CNTCC!$B$141:$F$251,CNTCC!$G$141:$K$251),MATCH(I12,CNTCC!$A$141:$A$251,0),0)),CNTCC!$B$140:$F$140),0))</f>
        <v>BP</v>
      </c>
      <c r="L12" s="145" t="s">
        <v>22</v>
      </c>
      <c r="M12" s="145" t="s">
        <v>22</v>
      </c>
      <c r="N12" s="145" t="s">
        <v>22</v>
      </c>
      <c r="O12" s="145" t="s">
        <v>22</v>
      </c>
      <c r="P12" s="145" t="s">
        <v>22</v>
      </c>
      <c r="Q12" s="145" t="s">
        <v>22</v>
      </c>
      <c r="R12" s="147" t="s">
        <v>81</v>
      </c>
      <c r="S12" s="148" t="str">
        <f t="shared" si="0"/>
        <v>Huỳnh Minh</v>
      </c>
      <c r="T12" s="148">
        <f t="shared" si="1"/>
        <v>45</v>
      </c>
      <c r="U12" s="148" t="e">
        <f t="shared" si="2"/>
        <v>#VALUE!</v>
      </c>
      <c r="Y12" s="148">
        <f>SUM(AB10:AD10)</f>
        <v>22</v>
      </c>
    </row>
    <row r="13" spans="1:37" s="148" customFormat="1" ht="18" customHeight="1">
      <c r="A13" s="138">
        <v>4</v>
      </c>
      <c r="B13" s="139" t="s">
        <v>355</v>
      </c>
      <c r="C13" s="149" t="s">
        <v>356</v>
      </c>
      <c r="D13" s="151">
        <v>44729</v>
      </c>
      <c r="E13" s="142" t="s">
        <v>189</v>
      </c>
      <c r="F13" s="143"/>
      <c r="G13" s="144">
        <v>18.2</v>
      </c>
      <c r="H13" s="145" t="str">
        <f>IF(DATEDIF(D13,DATE($X$4,$W$4,$V$4),"m")&lt;=60,LOOKUP(2,1/(G13&gt;=INDEX(IF(E13="x",CNTT!$B$4:$E$64,CNTT!$F$4:$I$64),MATCH(DATEDIF(D13,DATE($X$4,$W$4,$V$4),"m"),CNTT!$A$4:$A$64,0),0)),CNTT!$B$3:$E$3),LOOKUP(2,1/(G13&gt;=INDEX(IF(E13="x",CNTT!$B$70:$E$93,CNTT!$F$70:$I$93),MATCH(DATEDIF(D13,DATE($X$4,$W$4,$V$4),"m"),CNTT!$A$70:$A$93,0),0)),CNTT!$B$69:$E$69))</f>
        <v>bt</v>
      </c>
      <c r="I13" s="145">
        <v>100</v>
      </c>
      <c r="J13" s="146" t="str">
        <f>IF(DATEDIF(D13,DATE($X$4,$W$4,$V$4),"m")&lt;=60,LOOKUP(2,1/(I13&gt;=INDEX(IF(E13="x",CCTT!$B$4:$E$64,CCTT!$F$4:$I$64),MATCH(DATEDIF(D13,DATE($X$4,$W$4,$V$4),"m"),CCTT!$A$4:$A$64,0),0)),CCTT!$B$3:$E$3),LOOKUP(2,1/(I13&gt;=INDEX(IF(E13="x",CCTT!$B$70:$E$93,CCTT!$F$70:$I$93),MATCH(DATEDIF(D13,DATE($X$4,$W$4,$V$4),"m"),CCTT!$A$70:$A$93,0),0)),CCTT!B$69:E$69))</f>
        <v>bt</v>
      </c>
      <c r="K13" s="156" t="str">
        <f>IF(DATEDIF(D13,DATE($X$4,$W$4,$V$4),"m")&lt;24,LOOKUP(2,1/(G13&gt;=INDEX(IF(E13="x",CNTCC!$B$4:$F$134,CNTCC!$F$4),MATCH(I13,CNTCC!$A$4:$A$134,0),0)),CNTCC!$B$3:$F$3),IF(AND(DATEDIF(D13,DATE($X$4,$W$4,$V$4),"m")&gt;=24,DATEDIF(D13,DATE($X$4,$W$4,$V$4),"m")&lt;=60),LOOKUP(2,1/(G13&gt;=INDEX(IF(E13="x",CNTCC!$B$141:$F$251,CNTCC!$G$141:$K$251),MATCH(I13,CNTCC!$A$141:$A$251,0),0)),CNTCC!$B$140:$F$140),0))</f>
        <v>TC</v>
      </c>
      <c r="L13" s="145" t="s">
        <v>22</v>
      </c>
      <c r="M13" s="145" t="s">
        <v>22</v>
      </c>
      <c r="N13" s="145" t="s">
        <v>22</v>
      </c>
      <c r="O13" s="145" t="s">
        <v>22</v>
      </c>
      <c r="P13" s="145" t="s">
        <v>22</v>
      </c>
      <c r="Q13" s="145" t="s">
        <v>22</v>
      </c>
      <c r="R13" s="147" t="s">
        <v>57</v>
      </c>
      <c r="S13" s="148" t="str">
        <f t="shared" si="0"/>
        <v>Bùi Huy</v>
      </c>
      <c r="T13" s="148">
        <f t="shared" si="1"/>
        <v>50</v>
      </c>
      <c r="U13" s="148">
        <f t="shared" si="2"/>
        <v>18.2</v>
      </c>
      <c r="Y13" s="148">
        <f>SUM(AE10:AH10)</f>
        <v>22</v>
      </c>
    </row>
    <row r="14" spans="1:37" s="148" customFormat="1" ht="16.8">
      <c r="A14" s="138">
        <v>5</v>
      </c>
      <c r="B14" s="139" t="s">
        <v>357</v>
      </c>
      <c r="C14" s="149" t="s">
        <v>358</v>
      </c>
      <c r="D14" s="151">
        <v>44568</v>
      </c>
      <c r="E14" s="142" t="s">
        <v>189</v>
      </c>
      <c r="F14" s="150"/>
      <c r="G14" s="144">
        <v>16</v>
      </c>
      <c r="H14" s="145" t="str">
        <f>IF(DATEDIF(D14,DATE($X$4,$W$4,$V$4),"m")&lt;=60,LOOKUP(2,1/(G14&gt;=INDEX(IF(E14="x",CNTT!$B$4:$E$64,CNTT!$F$4:$I$64),MATCH(DATEDIF(D14,DATE($X$4,$W$4,$V$4),"m"),CNTT!$A$4:$A$64,0),0)),CNTT!$B$3:$E$3),LOOKUP(2,1/(G14&gt;=INDEX(IF(E14="x",CNTT!$B$70:$E$93,CNTT!$F$70:$I$93),MATCH(DATEDIF(D14,DATE($X$4,$W$4,$V$4),"m"),CNTT!$A$70:$A$93,0),0)),CNTT!$B$69:$E$69))</f>
        <v>bt</v>
      </c>
      <c r="I14" s="145">
        <v>104</v>
      </c>
      <c r="J14" s="146" t="str">
        <f>IF(DATEDIF(D14,DATE($X$4,$W$4,$V$4),"m")&lt;=60,LOOKUP(2,1/(I14&gt;=INDEX(IF(E14="x",CCTT!$B$4:$E$64,CCTT!$F$4:$I$64),MATCH(DATEDIF(D14,DATE($X$4,$W$4,$V$4),"m"),CCTT!$A$4:$A$64,0),0)),CCTT!$B$3:$E$3),LOOKUP(2,1/(I14&gt;=INDEX(IF(E14="x",CCTT!$B$70:$E$93,CCTT!$F$70:$I$93),MATCH(DATEDIF(D14,DATE($X$4,$W$4,$V$4),"m"),CCTT!$A$70:$A$93,0),0)),CCTT!B$69:E$69))</f>
        <v>bt</v>
      </c>
      <c r="K14" s="146" t="str">
        <f>IF(DATEDIF(D14,DATE($X$4,$W$4,$V$4),"m")&lt;24,LOOKUP(2,1/(G14&gt;=INDEX(IF(E14="x",CNTCC!$B$4:$F$134,CNTCC!$F$4),MATCH(I14,CNTCC!$A$4:$A$134,0),0)),CNTCC!$B$3:$F$3),IF(AND(DATEDIF(D14,DATE($X$4,$W$4,$V$4),"m")&gt;=24,DATEDIF(D14,DATE($X$4,$W$4,$V$4),"m")&lt;=60),LOOKUP(2,1/(G14&gt;=INDEX(IF(E14="x",CNTCC!$B$141:$F$251,CNTCC!$G$141:$K$251),MATCH(I14,CNTCC!$A$141:$A$251,0),0)),CNTCC!$B$140:$F$140),0))</f>
        <v>bt</v>
      </c>
      <c r="L14" s="145" t="s">
        <v>22</v>
      </c>
      <c r="M14" s="145" t="s">
        <v>22</v>
      </c>
      <c r="N14" s="145" t="s">
        <v>22</v>
      </c>
      <c r="O14" s="145" t="s">
        <v>22</v>
      </c>
      <c r="P14" s="155" t="s">
        <v>438</v>
      </c>
      <c r="Q14" s="145" t="s">
        <v>22</v>
      </c>
      <c r="R14" s="147" t="s">
        <v>57</v>
      </c>
      <c r="S14" s="148" t="str">
        <f t="shared" si="0"/>
        <v>Trần Lưu Gia</v>
      </c>
      <c r="T14" s="148">
        <f t="shared" si="1"/>
        <v>55</v>
      </c>
      <c r="U14" s="148">
        <f t="shared" si="2"/>
        <v>14.792899408284022</v>
      </c>
      <c r="Y14" s="148">
        <f>SUM(AI10:AK10)</f>
        <v>22</v>
      </c>
    </row>
    <row r="15" spans="1:37" s="148" customFormat="1" ht="16.8">
      <c r="A15" s="138">
        <v>6</v>
      </c>
      <c r="B15" s="139" t="s">
        <v>359</v>
      </c>
      <c r="C15" s="149" t="s">
        <v>360</v>
      </c>
      <c r="D15" s="151">
        <v>44731</v>
      </c>
      <c r="E15" s="142" t="s">
        <v>189</v>
      </c>
      <c r="F15" s="143"/>
      <c r="G15" s="144">
        <v>18.2</v>
      </c>
      <c r="H15" s="145" t="str">
        <f>IF(DATEDIF(D15,DATE($X$4,$W$4,$V$4),"m")&lt;=60,LOOKUP(2,1/(G15&gt;=INDEX(IF(E15="x",CNTT!$B$4:$E$64,CNTT!$F$4:$I$64),MATCH(DATEDIF(D15,DATE($X$4,$W$4,$V$4),"m"),CNTT!$A$4:$A$64,0),0)),CNTT!$B$3:$E$3),LOOKUP(2,1/(G15&gt;=INDEX(IF(E15="x",CNTT!$B$70:$E$93,CNTT!$F$70:$I$93),MATCH(DATEDIF(D15,DATE($X$4,$W$4,$V$4),"m"),CNTT!$A$70:$A$93,0),0)),CNTT!$B$69:$E$69))</f>
        <v>bt</v>
      </c>
      <c r="I15" s="145">
        <v>104</v>
      </c>
      <c r="J15" s="146" t="str">
        <f>IF(DATEDIF(D15,DATE($X$4,$W$4,$V$4),"m")&lt;=60,LOOKUP(2,1/(I15&gt;=INDEX(IF(E15="x",CCTT!$B$4:$E$64,CCTT!$F$4:$I$64),MATCH(DATEDIF(D15,DATE($X$4,$W$4,$V$4),"m"),CCTT!$A$4:$A$64,0),0)),CCTT!$B$3:$E$3),LOOKUP(2,1/(I15&gt;=INDEX(IF(E15="x",CCTT!$B$70:$E$93,CCTT!$F$70:$I$93),MATCH(DATEDIF(D15,DATE($X$4,$W$4,$V$4),"m"),CCTT!$A$70:$A$93,0),0)),CCTT!B$69:E$69))</f>
        <v>bt</v>
      </c>
      <c r="K15" s="146" t="str">
        <f>IF(DATEDIF(D15,DATE($X$4,$W$4,$V$4),"m")&lt;24,LOOKUP(2,1/(G15&gt;=INDEX(IF(E15="x",CNTCC!$B$4:$F$134,CNTCC!$F$4),MATCH(I15,CNTCC!$A$4:$A$134,0),0)),CNTCC!$B$3:$F$3),IF(AND(DATEDIF(D15,DATE($X$4,$W$4,$V$4),"m")&gt;=24,DATEDIF(D15,DATE($X$4,$W$4,$V$4),"m")&lt;=60),LOOKUP(2,1/(G15&gt;=INDEX(IF(E15="x",CNTCC!$B$141:$F$251,CNTCC!$G$141:$K$251),MATCH(I15,CNTCC!$A$141:$A$251,0),0)),CNTCC!$B$140:$F$140),0))</f>
        <v>bt</v>
      </c>
      <c r="L15" s="145" t="s">
        <v>22</v>
      </c>
      <c r="M15" s="145" t="s">
        <v>22</v>
      </c>
      <c r="N15" s="145" t="s">
        <v>22</v>
      </c>
      <c r="O15" s="145" t="s">
        <v>22</v>
      </c>
      <c r="P15" s="145" t="s">
        <v>22</v>
      </c>
      <c r="Q15" s="145" t="s">
        <v>22</v>
      </c>
      <c r="R15" s="147" t="s">
        <v>23</v>
      </c>
      <c r="S15" s="148" t="str">
        <f t="shared" si="0"/>
        <v>Lê Hoàng</v>
      </c>
      <c r="T15" s="148">
        <f t="shared" si="1"/>
        <v>50</v>
      </c>
      <c r="U15" s="148">
        <f t="shared" si="2"/>
        <v>16.826923076923073</v>
      </c>
    </row>
    <row r="16" spans="1:37" s="148" customFormat="1" ht="16.8">
      <c r="A16" s="138">
        <v>7</v>
      </c>
      <c r="B16" s="139" t="s">
        <v>361</v>
      </c>
      <c r="C16" s="149" t="s">
        <v>310</v>
      </c>
      <c r="D16" s="151">
        <v>44786</v>
      </c>
      <c r="E16" s="142" t="s">
        <v>189</v>
      </c>
      <c r="F16" s="143"/>
      <c r="G16" s="144">
        <v>16.2</v>
      </c>
      <c r="H16" s="145" t="str">
        <f>IF(DATEDIF(D16,DATE($X$4,$W$4,$V$4),"m")&lt;=60,LOOKUP(2,1/(G16&gt;=INDEX(IF(E16="x",CNTT!$B$4:$E$64,CNTT!$F$4:$I$64),MATCH(DATEDIF(D16,DATE($X$4,$W$4,$V$4),"m"),CNTT!$A$4:$A$64,0),0)),CNTT!$B$3:$E$3),LOOKUP(2,1/(G16&gt;=INDEX(IF(E16="x",CNTT!$B$70:$E$93,CNTT!$F$70:$I$93),MATCH(DATEDIF(D16,DATE($X$4,$W$4,$V$4),"m"),CNTT!$A$70:$A$93,0),0)),CNTT!$B$69:$E$69))</f>
        <v>bt</v>
      </c>
      <c r="I16" s="145">
        <v>99</v>
      </c>
      <c r="J16" s="146" t="str">
        <f>IF(DATEDIF(D16,DATE($X$4,$W$4,$V$4),"m")&lt;=60,LOOKUP(2,1/(I16&gt;=INDEX(IF(E16="x",CCTT!$B$4:$E$64,CCTT!$F$4:$I$64),MATCH(DATEDIF(D16,DATE($X$4,$W$4,$V$4),"m"),CCTT!$A$4:$A$64,0),0)),CCTT!$B$3:$E$3),LOOKUP(2,1/(I16&gt;=INDEX(IF(E16="x",CCTT!$B$70:$E$93,CCTT!$F$70:$I$93),MATCH(DATEDIF(D16,DATE($X$4,$W$4,$V$4),"m"),CCTT!$A$70:$A$93,0),0)),CCTT!B$69:E$69))</f>
        <v>bt</v>
      </c>
      <c r="K16" s="146" t="str">
        <f>IF(DATEDIF(D16,DATE($X$4,$W$4,$V$4),"m")&lt;24,LOOKUP(2,1/(G16&gt;=INDEX(IF(E16="x",CNTCC!$B$4:$F$134,CNTCC!$F$4),MATCH(I16,CNTCC!$A$4:$A$134,0),0)),CNTCC!$B$3:$F$3),IF(AND(DATEDIF(D16,DATE($X$4,$W$4,$V$4),"m")&gt;=24,DATEDIF(D16,DATE($X$4,$W$4,$V$4),"m")&lt;=60),LOOKUP(2,1/(G16&gt;=INDEX(IF(E16="x",CNTCC!$B$141:$F$251,CNTCC!$G$141:$K$251),MATCH(I16,CNTCC!$A$141:$A$251,0),0)),CNTCC!$B$140:$F$140),0))</f>
        <v>bt</v>
      </c>
      <c r="L16" s="145" t="s">
        <v>22</v>
      </c>
      <c r="M16" s="145" t="s">
        <v>22</v>
      </c>
      <c r="N16" s="145" t="s">
        <v>22</v>
      </c>
      <c r="O16" s="145" t="s">
        <v>22</v>
      </c>
      <c r="P16" s="145" t="s">
        <v>22</v>
      </c>
      <c r="Q16" s="145" t="s">
        <v>22</v>
      </c>
      <c r="R16" s="147" t="s">
        <v>23</v>
      </c>
      <c r="S16" s="148" t="str">
        <f t="shared" si="0"/>
        <v>Nguyễn Tiến</v>
      </c>
      <c r="T16" s="148">
        <f t="shared" si="1"/>
        <v>48</v>
      </c>
      <c r="U16" s="148">
        <f t="shared" si="2"/>
        <v>16.528925619834709</v>
      </c>
    </row>
    <row r="17" spans="1:21" s="148" customFormat="1" ht="16.8">
      <c r="A17" s="138">
        <v>8</v>
      </c>
      <c r="B17" s="152" t="s">
        <v>362</v>
      </c>
      <c r="C17" s="153" t="s">
        <v>363</v>
      </c>
      <c r="D17" s="151">
        <v>44936</v>
      </c>
      <c r="E17" s="142"/>
      <c r="F17" s="150" t="s">
        <v>189</v>
      </c>
      <c r="G17" s="144">
        <v>11.8</v>
      </c>
      <c r="H17" s="145" t="str">
        <f>IF(DATEDIF(D17,DATE($X$4,$W$4,$V$4),"m")&lt;=60,LOOKUP(2,1/(G17&gt;=INDEX(IF(E17="x",CNTT!$B$4:$E$64,CNTT!$F$4:$I$64),MATCH(DATEDIF(D17,DATE($X$4,$W$4,$V$4),"m"),CNTT!$A$4:$A$64,0),0)),CNTT!$B$3:$E$3),LOOKUP(2,1/(G17&gt;=INDEX(IF(E17="x",CNTT!$B$70:$E$93,CNTT!$F$70:$I$93),MATCH(DATEDIF(D17,DATE($X$4,$W$4,$V$4),"m"),CNTT!$A$70:$A$93,0),0)),CNTT!$B$69:$E$69))</f>
        <v>bt</v>
      </c>
      <c r="I17" s="145">
        <v>95</v>
      </c>
      <c r="J17" s="146" t="str">
        <f>IF(DATEDIF(D17,DATE($X$4,$W$4,$V$4),"m")&lt;=60,LOOKUP(2,1/(I17&gt;=INDEX(IF(E17="x",CCTT!$B$4:$E$64,CCTT!$F$4:$I$64),MATCH(DATEDIF(D17,DATE($X$4,$W$4,$V$4),"m"),CCTT!$A$4:$A$64,0),0)),CCTT!$B$3:$E$3),LOOKUP(2,1/(I17&gt;=INDEX(IF(E17="x",CCTT!$B$70:$E$93,CCTT!$F$70:$I$93),MATCH(DATEDIF(D17,DATE($X$4,$W$4,$V$4),"m"),CCTT!$A$70:$A$93,0),0)),CCTT!B$69:E$69))</f>
        <v>bt</v>
      </c>
      <c r="K17" s="146" t="str">
        <f>IF(DATEDIF(D17,DATE($X$4,$W$4,$V$4),"m")&lt;24,LOOKUP(2,1/(G17&gt;=INDEX(IF(E17="x",CNTCC!$B$4:$F$134,CNTCC!$F$4),MATCH(I17,CNTCC!$A$4:$A$134,0),0)),CNTCC!$B$3:$F$3),IF(AND(DATEDIF(D17,DATE($X$4,$W$4,$V$4),"m")&gt;=24,DATEDIF(D17,DATE($X$4,$W$4,$V$4),"m")&lt;=60),LOOKUP(2,1/(G17&gt;=INDEX(IF(E17="x",CNTCC!$B$141:$F$251,CNTCC!$G$141:$K$251),MATCH(I17,CNTCC!$A$141:$A$251,0),0)),CNTCC!$B$140:$F$140),0))</f>
        <v>bt</v>
      </c>
      <c r="L17" s="145" t="s">
        <v>22</v>
      </c>
      <c r="M17" s="145" t="s">
        <v>22</v>
      </c>
      <c r="N17" s="145" t="s">
        <v>22</v>
      </c>
      <c r="O17" s="145" t="s">
        <v>22</v>
      </c>
      <c r="P17" s="155" t="s">
        <v>438</v>
      </c>
      <c r="Q17" s="145" t="s">
        <v>22</v>
      </c>
      <c r="R17" s="147" t="s">
        <v>57</v>
      </c>
      <c r="S17" s="148" t="str">
        <f t="shared" si="0"/>
        <v>Kwak Minh</v>
      </c>
      <c r="T17" s="148">
        <f t="shared" si="1"/>
        <v>43</v>
      </c>
      <c r="U17" s="148">
        <f t="shared" si="2"/>
        <v>13.074792243767314</v>
      </c>
    </row>
    <row r="18" spans="1:21" s="148" customFormat="1" ht="16.8">
      <c r="A18" s="138">
        <v>9</v>
      </c>
      <c r="B18" s="139" t="s">
        <v>169</v>
      </c>
      <c r="C18" s="149" t="s">
        <v>165</v>
      </c>
      <c r="D18" s="154">
        <v>44922</v>
      </c>
      <c r="E18" s="142" t="s">
        <v>189</v>
      </c>
      <c r="F18" s="150"/>
      <c r="G18" s="144">
        <v>30</v>
      </c>
      <c r="H18" s="155" t="str">
        <f>IF(DATEDIF(D18,DATE($X$4,$W$4,$V$4),"m")&lt;=60,LOOKUP(2,1/(G18&gt;=INDEX(IF(E18="x",CNTT!$B$4:$E$64,CNTT!$F$4:$I$64),MATCH(DATEDIF(D18,DATE($X$4,$W$4,$V$4),"m"),CNTT!$A$4:$A$64,0),0)),CNTT!$B$3:$E$3),LOOKUP(2,1/(G18&gt;=INDEX(IF(E18="x",CNTT!$B$70:$E$93,CNTT!$F$70:$I$93),MATCH(DATEDIF(D18,DATE($X$4,$W$4,$V$4),"m"),CNTT!$A$70:$A$93,0),0)),CNTT!$B$69:$E$69))</f>
        <v>CNC</v>
      </c>
      <c r="I18" s="145">
        <v>106</v>
      </c>
      <c r="J18" s="146" t="str">
        <f>IF(DATEDIF(D18,DATE($X$4,$W$4,$V$4),"m")&lt;=60,LOOKUP(2,1/(I18&gt;=INDEX(IF(E18="x",CCTT!$B$4:$E$64,CCTT!$F$4:$I$64),MATCH(DATEDIF(D18,DATE($X$4,$W$4,$V$4),"m"),CCTT!$A$4:$A$64,0),0)),CCTT!$B$3:$E$3),LOOKUP(2,1/(I18&gt;=INDEX(IF(E18="x",CCTT!$B$70:$E$93,CCTT!$F$70:$I$93),MATCH(DATEDIF(D18,DATE($X$4,$W$4,$V$4),"m"),CCTT!$A$70:$A$93,0),0)),CCTT!B$69:E$69))</f>
        <v>bt</v>
      </c>
      <c r="K18" s="156" t="str">
        <f>IF(DATEDIF(D18,DATE($X$4,$W$4,$V$4),"m")&lt;24,LOOKUP(2,1/(G18&gt;=INDEX(IF(E18="x",CNTCC!$B$4:$F$134,CNTCC!$F$4),MATCH(I18,CNTCC!$A$4:$A$134,0),0)),CNTCC!$B$3:$F$3),IF(AND(DATEDIF(D18,DATE($X$4,$W$4,$V$4),"m")&gt;=24,DATEDIF(D18,DATE($X$4,$W$4,$V$4),"m")&lt;=60),LOOKUP(2,1/(G18&gt;=INDEX(IF(E18="x",CNTCC!$B$141:$F$251,CNTCC!$G$141:$K$251),MATCH(I18,CNTCC!$A$141:$A$251,0),0)),CNTCC!$B$140:$F$140),0))</f>
        <v>BP</v>
      </c>
      <c r="L18" s="145" t="s">
        <v>22</v>
      </c>
      <c r="M18" s="145" t="s">
        <v>22</v>
      </c>
      <c r="N18" s="145" t="s">
        <v>22</v>
      </c>
      <c r="O18" s="145" t="s">
        <v>22</v>
      </c>
      <c r="P18" s="145" t="s">
        <v>22</v>
      </c>
      <c r="Q18" s="145" t="s">
        <v>22</v>
      </c>
      <c r="R18" s="147" t="s">
        <v>81</v>
      </c>
      <c r="S18" s="148" t="str">
        <f t="shared" si="0"/>
        <v>Nguyễn Minh</v>
      </c>
      <c r="T18" s="148">
        <f t="shared" si="1"/>
        <v>44</v>
      </c>
      <c r="U18" s="148">
        <f t="shared" si="2"/>
        <v>26.699893200427194</v>
      </c>
    </row>
    <row r="19" spans="1:21" s="148" customFormat="1" ht="16.8">
      <c r="A19" s="138">
        <v>10</v>
      </c>
      <c r="B19" s="139" t="s">
        <v>364</v>
      </c>
      <c r="C19" s="140" t="s">
        <v>165</v>
      </c>
      <c r="D19" s="151">
        <v>44786</v>
      </c>
      <c r="E19" s="142" t="s">
        <v>189</v>
      </c>
      <c r="F19" s="150"/>
      <c r="G19" s="144">
        <v>16.8</v>
      </c>
      <c r="H19" s="145" t="str">
        <f>IF(DATEDIF(D19,DATE($X$4,$W$4,$V$4),"m")&lt;=60,LOOKUP(2,1/(G19&gt;=INDEX(IF(E19="x",CNTT!$B$4:$E$64,CNTT!$F$4:$I$64),MATCH(DATEDIF(D19,DATE($X$4,$W$4,$V$4),"m"),CNTT!$A$4:$A$64,0),0)),CNTT!$B$3:$E$3),LOOKUP(2,1/(G19&gt;=INDEX(IF(E19="x",CNTT!$B$70:$E$93,CNTT!$F$70:$I$93),MATCH(DATEDIF(D19,DATE($X$4,$W$4,$V$4),"m"),CNTT!$A$70:$A$93,0),0)),CNTT!$B$69:$E$69))</f>
        <v>bt</v>
      </c>
      <c r="I19" s="145">
        <v>101</v>
      </c>
      <c r="J19" s="146" t="str">
        <f>IF(DATEDIF(D19,DATE($X$4,$W$4,$V$4),"m")&lt;=60,LOOKUP(2,1/(I19&gt;=INDEX(IF(E19="x",CCTT!$B$4:$E$64,CCTT!$F$4:$I$64),MATCH(DATEDIF(D19,DATE($X$4,$W$4,$V$4),"m"),CCTT!$A$4:$A$64,0),0)),CCTT!$B$3:$E$3),LOOKUP(2,1/(I19&gt;=INDEX(IF(E19="x",CCTT!$B$70:$E$93,CCTT!$F$70:$I$93),MATCH(DATEDIF(D19,DATE($X$4,$W$4,$V$4),"m"),CCTT!$A$70:$A$93,0),0)),CCTT!B$69:E$69))</f>
        <v>bt</v>
      </c>
      <c r="K19" s="146" t="str">
        <f>IF(DATEDIF(D19,DATE($X$4,$W$4,$V$4),"m")&lt;24,LOOKUP(2,1/(G19&gt;=INDEX(IF(E19="x",CNTCC!$B$4:$F$134,CNTCC!$F$4),MATCH(I19,CNTCC!$A$4:$A$134,0),0)),CNTCC!$B$3:$F$3),IF(AND(DATEDIF(D19,DATE($X$4,$W$4,$V$4),"m")&gt;=24,DATEDIF(D19,DATE($X$4,$W$4,$V$4),"m")&lt;=60),LOOKUP(2,1/(G19&gt;=INDEX(IF(E19="x",CNTCC!$B$141:$F$251,CNTCC!$G$141:$K$251),MATCH(I19,CNTCC!$A$141:$A$251,0),0)),CNTCC!$B$140:$F$140),0))</f>
        <v>bt</v>
      </c>
      <c r="L19" s="145" t="s">
        <v>22</v>
      </c>
      <c r="M19" s="145" t="s">
        <v>22</v>
      </c>
      <c r="N19" s="145" t="s">
        <v>22</v>
      </c>
      <c r="O19" s="145" t="s">
        <v>22</v>
      </c>
      <c r="P19" s="145" t="s">
        <v>22</v>
      </c>
      <c r="Q19" s="145" t="s">
        <v>22</v>
      </c>
      <c r="R19" s="147" t="s">
        <v>23</v>
      </c>
      <c r="S19" s="148" t="str">
        <f t="shared" si="0"/>
        <v>Huỳnh</v>
      </c>
      <c r="T19" s="148">
        <f t="shared" si="1"/>
        <v>48</v>
      </c>
      <c r="U19" s="148">
        <f t="shared" si="2"/>
        <v>16.46897363003627</v>
      </c>
    </row>
    <row r="20" spans="1:21" s="148" customFormat="1" ht="16.8">
      <c r="A20" s="138">
        <v>11</v>
      </c>
      <c r="B20" s="139" t="s">
        <v>365</v>
      </c>
      <c r="C20" s="140" t="s">
        <v>366</v>
      </c>
      <c r="D20" s="151">
        <v>44641</v>
      </c>
      <c r="E20" s="142" t="s">
        <v>189</v>
      </c>
      <c r="F20" s="150"/>
      <c r="G20" s="144">
        <v>12.8</v>
      </c>
      <c r="H20" s="155" t="str">
        <f>IF(DATEDIF(D20,DATE($X$4,$W$4,$V$4),"m")&lt;=60,LOOKUP(2,1/(G20&gt;=INDEX(IF(E20="x",CNTT!$B$4:$E$64,CNTT!$F$4:$I$64),MATCH(DATEDIF(D20,DATE($X$4,$W$4,$V$4),"m"),CNTT!$A$4:$A$64,0),0)),CNTT!$B$3:$E$3),LOOKUP(2,1/(G20&gt;=INDEX(IF(E20="x",CNTT!$B$70:$E$93,CNTT!$F$70:$I$93),MATCH(DATEDIF(D20,DATE($X$4,$W$4,$V$4),"m"),CNTT!$A$70:$A$93,0),0)),CNTT!$B$69:$E$69))</f>
        <v>SDDTNC</v>
      </c>
      <c r="I20" s="145">
        <v>95</v>
      </c>
      <c r="J20" s="156" t="str">
        <f>IF(DATEDIF(D20,DATE($X$4,$W$4,$V$4),"m")&lt;=60,LOOKUP(2,1/(I20&gt;=INDEX(IF(E20="x",CCTT!$B$4:$E$64,CCTT!$F$4:$I$64),MATCH(DATEDIF(D20,DATE($X$4,$W$4,$V$4),"m"),CCTT!$A$4:$A$64,0),0)),CCTT!$B$3:$E$3),LOOKUP(2,1/(I20&gt;=INDEX(IF(E20="x",CCTT!$B$70:$E$93,CCTT!$F$70:$I$93),MATCH(DATEDIF(D20,DATE($X$4,$W$4,$V$4),"m"),CCTT!$A$70:$A$93,0),0)),CCTT!B$69:E$69))</f>
        <v>SDDTTC</v>
      </c>
      <c r="K20" s="146" t="str">
        <f>IF(DATEDIF(D20,DATE($X$4,$W$4,$V$4),"m")&lt;24,LOOKUP(2,1/(G20&gt;=INDEX(IF(E20="x",CNTCC!$B$4:$F$134,CNTCC!$F$4),MATCH(I20,CNTCC!$A$4:$A$134,0),0)),CNTCC!$B$3:$F$3),IF(AND(DATEDIF(D20,DATE($X$4,$W$4,$V$4),"m")&gt;=24,DATEDIF(D20,DATE($X$4,$W$4,$V$4),"m")&lt;=60),LOOKUP(2,1/(G20&gt;=INDEX(IF(E20="x",CNTCC!$B$141:$F$251,CNTCC!$G$141:$K$251),MATCH(I20,CNTCC!$A$141:$A$251,0),0)),CNTCC!$B$140:$F$140),0))</f>
        <v>bt</v>
      </c>
      <c r="L20" s="145" t="s">
        <v>22</v>
      </c>
      <c r="M20" s="145" t="s">
        <v>22</v>
      </c>
      <c r="N20" s="145" t="s">
        <v>22</v>
      </c>
      <c r="O20" s="145" t="s">
        <v>22</v>
      </c>
      <c r="P20" s="145" t="s">
        <v>22</v>
      </c>
      <c r="Q20" s="145" t="s">
        <v>22</v>
      </c>
      <c r="R20" s="147" t="s">
        <v>57</v>
      </c>
      <c r="S20" s="148" t="str">
        <f t="shared" si="0"/>
        <v>Nguyễn Gia</v>
      </c>
      <c r="T20" s="148">
        <f t="shared" si="1"/>
        <v>53</v>
      </c>
      <c r="U20" s="148">
        <f t="shared" si="2"/>
        <v>14.182825484764544</v>
      </c>
    </row>
    <row r="21" spans="1:21" s="148" customFormat="1" ht="16.8">
      <c r="A21" s="138">
        <v>12</v>
      </c>
      <c r="B21" s="139" t="s">
        <v>367</v>
      </c>
      <c r="C21" s="140" t="s">
        <v>179</v>
      </c>
      <c r="D21" s="151">
        <v>44766</v>
      </c>
      <c r="E21" s="142" t="s">
        <v>189</v>
      </c>
      <c r="F21" s="150"/>
      <c r="G21" s="144">
        <v>20.5</v>
      </c>
      <c r="H21" s="145" t="str">
        <f>IF(DATEDIF(D21,DATE($X$4,$W$4,$V$4),"m")&lt;=60,LOOKUP(2,1/(G21&gt;=INDEX(IF(E21="x",CNTT!$B$4:$E$64,CNTT!$F$4:$I$64),MATCH(DATEDIF(D21,DATE($X$4,$W$4,$V$4),"m"),CNTT!$A$4:$A$64,0),0)),CNTT!$B$3:$E$3),LOOKUP(2,1/(G21&gt;=INDEX(IF(E21="x",CNTT!$B$70:$E$93,CNTT!$F$70:$I$93),MATCH(DATEDIF(D21,DATE($X$4,$W$4,$V$4),"m"),CNTT!$A$70:$A$93,0),0)),CNTT!$B$69:$E$69))</f>
        <v>bt</v>
      </c>
      <c r="I21" s="145">
        <v>104</v>
      </c>
      <c r="J21" s="146" t="str">
        <f>IF(DATEDIF(D21,DATE($X$4,$W$4,$V$4),"m")&lt;=60,LOOKUP(2,1/(I21&gt;=INDEX(IF(E21="x",CCTT!$B$4:$E$64,CCTT!$F$4:$I$64),MATCH(DATEDIF(D21,DATE($X$4,$W$4,$V$4),"m"),CCTT!$A$4:$A$64,0),0)),CCTT!$B$3:$E$3),LOOKUP(2,1/(I21&gt;=INDEX(IF(E21="x",CCTT!$B$70:$E$93,CCTT!$F$70:$I$93),MATCH(DATEDIF(D21,DATE($X$4,$W$4,$V$4),"m"),CCTT!$A$70:$A$93,0),0)),CCTT!B$69:E$69))</f>
        <v>bt</v>
      </c>
      <c r="K21" s="156" t="str">
        <f>IF(DATEDIF(D21,DATE($X$4,$W$4,$V$4),"m")&lt;24,LOOKUP(2,1/(G21&gt;=INDEX(IF(E21="x",CNTCC!$B$4:$F$134,CNTCC!$F$4),MATCH(I21,CNTCC!$A$4:$A$134,0),0)),CNTCC!$B$3:$F$3),IF(AND(DATEDIF(D21,DATE($X$4,$W$4,$V$4),"m")&gt;=24,DATEDIF(D21,DATE($X$4,$W$4,$V$4),"m")&lt;=60),LOOKUP(2,1/(G21&gt;=INDEX(IF(E21="x",CNTCC!$B$141:$F$251,CNTCC!$G$141:$K$251),MATCH(I21,CNTCC!$A$141:$A$251,0),0)),CNTCC!$B$140:$F$140),0))</f>
        <v>TC</v>
      </c>
      <c r="L21" s="145" t="s">
        <v>22</v>
      </c>
      <c r="M21" s="145" t="s">
        <v>22</v>
      </c>
      <c r="N21" s="145" t="s">
        <v>22</v>
      </c>
      <c r="O21" s="145" t="s">
        <v>22</v>
      </c>
      <c r="P21" s="155" t="s">
        <v>437</v>
      </c>
      <c r="Q21" s="145" t="s">
        <v>22</v>
      </c>
      <c r="R21" s="147" t="s">
        <v>57</v>
      </c>
      <c r="S21" s="148" t="str">
        <f t="shared" si="0"/>
        <v>Ng. Vũ Thế</v>
      </c>
      <c r="T21" s="148">
        <f t="shared" si="1"/>
        <v>49</v>
      </c>
      <c r="U21" s="148">
        <f t="shared" si="2"/>
        <v>18.953402366863902</v>
      </c>
    </row>
    <row r="22" spans="1:21" s="148" customFormat="1" ht="16.8">
      <c r="A22" s="138">
        <v>13</v>
      </c>
      <c r="B22" s="139" t="s">
        <v>368</v>
      </c>
      <c r="C22" s="140" t="s">
        <v>197</v>
      </c>
      <c r="D22" s="151">
        <v>44867</v>
      </c>
      <c r="E22" s="142"/>
      <c r="F22" s="150" t="s">
        <v>189</v>
      </c>
      <c r="G22" s="144">
        <v>13.5</v>
      </c>
      <c r="H22" s="145" t="str">
        <f>IF(DATEDIF(D22,DATE($X$4,$W$4,$V$4),"m")&lt;=60,LOOKUP(2,1/(G22&gt;=INDEX(IF(E22="x",CNTT!$B$4:$E$64,CNTT!$F$4:$I$64),MATCH(DATEDIF(D22,DATE($X$4,$W$4,$V$4),"m"),CNTT!$A$4:$A$64,0),0)),CNTT!$B$3:$E$3),LOOKUP(2,1/(G22&gt;=INDEX(IF(E22="x",CNTT!$B$70:$E$93,CNTT!$F$70:$I$93),MATCH(DATEDIF(D22,DATE($X$4,$W$4,$V$4),"m"),CNTT!$A$70:$A$93,0),0)),CNTT!$B$69:$E$69))</f>
        <v>bt</v>
      </c>
      <c r="I22" s="145">
        <v>97</v>
      </c>
      <c r="J22" s="146" t="str">
        <f>IF(DATEDIF(D22,DATE($X$4,$W$4,$V$4),"m")&lt;=60,LOOKUP(2,1/(I22&gt;=INDEX(IF(E22="x",CCTT!$B$4:$E$64,CCTT!$F$4:$I$64),MATCH(DATEDIF(D22,DATE($X$4,$W$4,$V$4),"m"),CCTT!$A$4:$A$64,0),0)),CCTT!$B$3:$E$3),LOOKUP(2,1/(I22&gt;=INDEX(IF(E22="x",CCTT!$B$70:$E$93,CCTT!$F$70:$I$93),MATCH(DATEDIF(D22,DATE($X$4,$W$4,$V$4),"m"),CCTT!$A$70:$A$93,0),0)),CCTT!B$69:E$69))</f>
        <v>bt</v>
      </c>
      <c r="K22" s="146" t="str">
        <f>IF(DATEDIF(D22,DATE($X$4,$W$4,$V$4),"m")&lt;24,LOOKUP(2,1/(G22&gt;=INDEX(IF(E22="x",CNTCC!$B$4:$F$134,CNTCC!$F$4),MATCH(I22,CNTCC!$A$4:$A$134,0),0)),CNTCC!$B$3:$F$3),IF(AND(DATEDIF(D22,DATE($X$4,$W$4,$V$4),"m")&gt;=24,DATEDIF(D22,DATE($X$4,$W$4,$V$4),"m")&lt;=60),LOOKUP(2,1/(G22&gt;=INDEX(IF(E22="x",CNTCC!$B$141:$F$251,CNTCC!$G$141:$K$251),MATCH(I22,CNTCC!$A$141:$A$251,0),0)),CNTCC!$B$140:$F$140),0))</f>
        <v>bt</v>
      </c>
      <c r="L22" s="145" t="s">
        <v>22</v>
      </c>
      <c r="M22" s="145" t="s">
        <v>22</v>
      </c>
      <c r="N22" s="145" t="s">
        <v>22</v>
      </c>
      <c r="O22" s="145" t="s">
        <v>22</v>
      </c>
      <c r="P22" s="145" t="s">
        <v>22</v>
      </c>
      <c r="Q22" s="145" t="s">
        <v>22</v>
      </c>
      <c r="R22" s="147" t="s">
        <v>23</v>
      </c>
      <c r="S22" s="148" t="str">
        <f t="shared" si="0"/>
        <v>Phạm Hà</v>
      </c>
      <c r="T22" s="148">
        <f t="shared" si="1"/>
        <v>45</v>
      </c>
      <c r="U22" s="148">
        <f t="shared" si="2"/>
        <v>14.347964714634925</v>
      </c>
    </row>
    <row r="23" spans="1:21" s="148" customFormat="1" ht="16.8">
      <c r="A23" s="138">
        <v>14</v>
      </c>
      <c r="B23" s="139" t="s">
        <v>369</v>
      </c>
      <c r="C23" s="140" t="s">
        <v>322</v>
      </c>
      <c r="D23" s="151">
        <v>44626</v>
      </c>
      <c r="E23" s="142"/>
      <c r="F23" s="150" t="s">
        <v>189</v>
      </c>
      <c r="G23" s="144">
        <v>17.100000000000001</v>
      </c>
      <c r="H23" s="145" t="str">
        <f>IF(DATEDIF(D23,DATE($X$4,$W$4,$V$4),"m")&lt;=60,LOOKUP(2,1/(G23&gt;=INDEX(IF(E23="x",CNTT!$B$4:$E$64,CNTT!$F$4:$I$64),MATCH(DATEDIF(D23,DATE($X$4,$W$4,$V$4),"m"),CNTT!$A$4:$A$64,0),0)),CNTT!$B$3:$E$3),LOOKUP(2,1/(G23&gt;=INDEX(IF(E23="x",CNTT!$B$70:$E$93,CNTT!$F$70:$I$93),MATCH(DATEDIF(D23,DATE($X$4,$W$4,$V$4),"m"),CNTT!$A$70:$A$93,0),0)),CNTT!$B$69:$E$69))</f>
        <v>bt</v>
      </c>
      <c r="I23" s="145">
        <v>106</v>
      </c>
      <c r="J23" s="146" t="str">
        <f>IF(DATEDIF(D23,DATE($X$4,$W$4,$V$4),"m")&lt;=60,LOOKUP(2,1/(I23&gt;=INDEX(IF(E23="x",CCTT!$B$4:$E$64,CCTT!$F$4:$I$64),MATCH(DATEDIF(D23,DATE($X$4,$W$4,$V$4),"m"),CCTT!$A$4:$A$64,0),0)),CCTT!$B$3:$E$3),LOOKUP(2,1/(I23&gt;=INDEX(IF(E23="x",CCTT!$B$70:$E$93,CCTT!$F$70:$I$93),MATCH(DATEDIF(D23,DATE($X$4,$W$4,$V$4),"m"),CCTT!$A$70:$A$93,0),0)),CCTT!B$69:E$69))</f>
        <v>bt</v>
      </c>
      <c r="K23" s="146" t="str">
        <f>IF(DATEDIF(D23,DATE($X$4,$W$4,$V$4),"m")&lt;24,LOOKUP(2,1/(G23&gt;=INDEX(IF(E23="x",CNTCC!$B$4:$F$134,CNTCC!$F$4),MATCH(I23,CNTCC!$A$4:$A$134,0),0)),CNTCC!$B$3:$F$3),IF(AND(DATEDIF(D23,DATE($X$4,$W$4,$V$4),"m")&gt;=24,DATEDIF(D23,DATE($X$4,$W$4,$V$4),"m")&lt;=60),LOOKUP(2,1/(G23&gt;=INDEX(IF(E23="x",CNTCC!$B$141:$F$251,CNTCC!$G$141:$K$251),MATCH(I23,CNTCC!$A$141:$A$251,0),0)),CNTCC!$B$140:$F$140),0))</f>
        <v>bt</v>
      </c>
      <c r="L23" s="145" t="s">
        <v>22</v>
      </c>
      <c r="M23" s="145" t="s">
        <v>22</v>
      </c>
      <c r="N23" s="145" t="s">
        <v>22</v>
      </c>
      <c r="O23" s="145" t="s">
        <v>22</v>
      </c>
      <c r="P23" s="145" t="s">
        <v>22</v>
      </c>
      <c r="Q23" s="145" t="s">
        <v>22</v>
      </c>
      <c r="R23" s="147" t="s">
        <v>23</v>
      </c>
      <c r="S23" s="148" t="str">
        <f t="shared" si="0"/>
        <v>Kiều Nguyễn Lam</v>
      </c>
      <c r="T23" s="148">
        <f t="shared" si="1"/>
        <v>53</v>
      </c>
      <c r="U23" s="148">
        <f t="shared" si="2"/>
        <v>15.218939124243501</v>
      </c>
    </row>
    <row r="24" spans="1:21" s="148" customFormat="1" ht="16.8">
      <c r="A24" s="138">
        <v>15</v>
      </c>
      <c r="B24" s="139" t="s">
        <v>370</v>
      </c>
      <c r="C24" s="140" t="s">
        <v>371</v>
      </c>
      <c r="D24" s="151">
        <v>44899</v>
      </c>
      <c r="E24" s="142"/>
      <c r="F24" s="150" t="s">
        <v>189</v>
      </c>
      <c r="G24" s="144">
        <v>15.8</v>
      </c>
      <c r="H24" s="145" t="str">
        <f>IF(DATEDIF(D24,DATE($X$4,$W$4,$V$4),"m")&lt;=60,LOOKUP(2,1/(G24&gt;=INDEX(IF(E24="x",CNTT!$B$4:$E$64,CNTT!$F$4:$I$64),MATCH(DATEDIF(D24,DATE($X$4,$W$4,$V$4),"m"),CNTT!$A$4:$A$64,0),0)),CNTT!$B$3:$E$3),LOOKUP(2,1/(G24&gt;=INDEX(IF(E24="x",CNTT!$B$70:$E$93,CNTT!$F$70:$I$93),MATCH(DATEDIF(D24,DATE($X$4,$W$4,$V$4),"m"),CNTT!$A$70:$A$93,0),0)),CNTT!$B$69:$E$69))</f>
        <v>bt</v>
      </c>
      <c r="I24" s="145">
        <v>99</v>
      </c>
      <c r="J24" s="146" t="str">
        <f>IF(DATEDIF(D24,DATE($X$4,$W$4,$V$4),"m")&lt;=60,LOOKUP(2,1/(I24&gt;=INDEX(IF(E24="x",CCTT!$B$4:$E$64,CCTT!$F$4:$I$64),MATCH(DATEDIF(D24,DATE($X$4,$W$4,$V$4),"m"),CCTT!$A$4:$A$64,0),0)),CCTT!$B$3:$E$3),LOOKUP(2,1/(I24&gt;=INDEX(IF(E24="x",CCTT!$B$70:$E$93,CCTT!$F$70:$I$93),MATCH(DATEDIF(D24,DATE($X$4,$W$4,$V$4),"m"),CCTT!$A$70:$A$93,0),0)),CCTT!B$69:E$69))</f>
        <v>bt</v>
      </c>
      <c r="K24" s="146" t="str">
        <f>IF(DATEDIF(D24,DATE($X$4,$W$4,$V$4),"m")&lt;24,LOOKUP(2,1/(G24&gt;=INDEX(IF(E24="x",CNTCC!$B$4:$F$134,CNTCC!$F$4),MATCH(I24,CNTCC!$A$4:$A$134,0),0)),CNTCC!$B$3:$F$3),IF(AND(DATEDIF(D24,DATE($X$4,$W$4,$V$4),"m")&gt;=24,DATEDIF(D24,DATE($X$4,$W$4,$V$4),"m")&lt;=60),LOOKUP(2,1/(G24&gt;=INDEX(IF(E24="x",CNTCC!$B$141:$F$251,CNTCC!$G$141:$K$251),MATCH(I24,CNTCC!$A$141:$A$251,0),0)),CNTCC!$B$140:$F$140),0))</f>
        <v>bt</v>
      </c>
      <c r="L24" s="145" t="s">
        <v>22</v>
      </c>
      <c r="M24" s="145" t="s">
        <v>22</v>
      </c>
      <c r="N24" s="145" t="s">
        <v>22</v>
      </c>
      <c r="O24" s="145" t="s">
        <v>22</v>
      </c>
      <c r="P24" s="145" t="s">
        <v>22</v>
      </c>
      <c r="Q24" s="145" t="s">
        <v>22</v>
      </c>
      <c r="R24" s="147" t="s">
        <v>23</v>
      </c>
      <c r="S24" s="148" t="str">
        <f t="shared" si="0"/>
        <v>Lâm Tuệ</v>
      </c>
      <c r="T24" s="148">
        <f t="shared" si="1"/>
        <v>44</v>
      </c>
      <c r="U24" s="148">
        <f t="shared" si="2"/>
        <v>16.120803999591878</v>
      </c>
    </row>
    <row r="25" spans="1:21" s="148" customFormat="1" ht="16.8">
      <c r="A25" s="138">
        <v>16</v>
      </c>
      <c r="B25" s="139" t="s">
        <v>372</v>
      </c>
      <c r="C25" s="140" t="s">
        <v>181</v>
      </c>
      <c r="D25" s="151">
        <v>44621</v>
      </c>
      <c r="E25" s="142"/>
      <c r="F25" s="150" t="s">
        <v>189</v>
      </c>
      <c r="G25" s="144">
        <v>25</v>
      </c>
      <c r="H25" s="155" t="str">
        <f>IF(DATEDIF(D25,DATE($X$4,$W$4,$V$4),"m")&lt;=60,LOOKUP(2,1/(G25&gt;=INDEX(IF(E25="x",CNTT!$B$4:$E$64,CNTT!$F$4:$I$64),MATCH(DATEDIF(D25,DATE($X$4,$W$4,$V$4),"m"),CNTT!$A$4:$A$64,0),0)),CNTT!$B$3:$E$3),LOOKUP(2,1/(G25&gt;=INDEX(IF(E25="x",CNTT!$B$70:$E$93,CNTT!$F$70:$I$93),MATCH(DATEDIF(D25,DATE($X$4,$W$4,$V$4),"m"),CNTT!$A$70:$A$93,0),0)),CNTT!$B$69:$E$69))</f>
        <v>CNC</v>
      </c>
      <c r="I25" s="145">
        <v>109</v>
      </c>
      <c r="J25" s="146" t="str">
        <f>IF(DATEDIF(D25,DATE($X$4,$W$4,$V$4),"m")&lt;=60,LOOKUP(2,1/(I25&gt;=INDEX(IF(E25="x",CCTT!$B$4:$E$64,CCTT!$F$4:$I$64),MATCH(DATEDIF(D25,DATE($X$4,$W$4,$V$4),"m"),CCTT!$A$4:$A$64,0),0)),CCTT!$B$3:$E$3),LOOKUP(2,1/(I25&gt;=INDEX(IF(E25="x",CCTT!$B$70:$E$93,CCTT!$F$70:$I$93),MATCH(DATEDIF(D25,DATE($X$4,$W$4,$V$4),"m"),CCTT!$A$70:$A$93,0),0)),CCTT!B$69:E$69))</f>
        <v>bt</v>
      </c>
      <c r="K25" s="156" t="str">
        <f>IF(DATEDIF(D25,DATE($X$4,$W$4,$V$4),"m")&lt;24,LOOKUP(2,1/(G25&gt;=INDEX(IF(E25="x",CNTCC!$B$4:$F$134,CNTCC!$F$4),MATCH(I25,CNTCC!$A$4:$A$134,0),0)),CNTCC!$B$3:$F$3),IF(AND(DATEDIF(D25,DATE($X$4,$W$4,$V$4),"m")&gt;=24,DATEDIF(D25,DATE($X$4,$W$4,$V$4),"m")&lt;=60),LOOKUP(2,1/(G25&gt;=INDEX(IF(E25="x",CNTCC!$B$141:$F$251,CNTCC!$G$141:$K$251),MATCH(I25,CNTCC!$A$141:$A$251,0),0)),CNTCC!$B$140:$F$140),0))</f>
        <v>BP</v>
      </c>
      <c r="L25" s="145" t="s">
        <v>22</v>
      </c>
      <c r="M25" s="145" t="s">
        <v>22</v>
      </c>
      <c r="N25" s="145" t="s">
        <v>22</v>
      </c>
      <c r="O25" s="145" t="s">
        <v>22</v>
      </c>
      <c r="P25" s="155" t="s">
        <v>438</v>
      </c>
      <c r="Q25" s="145" t="s">
        <v>22</v>
      </c>
      <c r="R25" s="147" t="s">
        <v>81</v>
      </c>
      <c r="S25" s="148" t="str">
        <f t="shared" si="0"/>
        <v>Nguyễn Hoàng Thu</v>
      </c>
      <c r="T25" s="148">
        <f t="shared" si="1"/>
        <v>53</v>
      </c>
      <c r="U25" s="148">
        <f t="shared" si="2"/>
        <v>21.041999831663997</v>
      </c>
    </row>
    <row r="26" spans="1:21" s="148" customFormat="1" ht="16.8">
      <c r="A26" s="138">
        <v>17</v>
      </c>
      <c r="B26" s="139" t="s">
        <v>373</v>
      </c>
      <c r="C26" s="140" t="s">
        <v>374</v>
      </c>
      <c r="D26" s="151">
        <v>44862</v>
      </c>
      <c r="E26" s="142" t="s">
        <v>189</v>
      </c>
      <c r="F26" s="150"/>
      <c r="G26" s="144">
        <v>14</v>
      </c>
      <c r="H26" s="145" t="str">
        <f>IF(DATEDIF(D26,DATE($X$4,$W$4,$V$4),"m")&lt;=60,LOOKUP(2,1/(G26&gt;=INDEX(IF(E26="x",CNTT!$B$4:$E$64,CNTT!$F$4:$I$64),MATCH(DATEDIF(D26,DATE($X$4,$W$4,$V$4),"m"),CNTT!$A$4:$A$64,0),0)),CNTT!$B$3:$E$3),LOOKUP(2,1/(G26&gt;=INDEX(IF(E26="x",CNTT!$B$70:$E$93,CNTT!$F$70:$I$93),MATCH(DATEDIF(D26,DATE($X$4,$W$4,$V$4),"m"),CNTT!$A$70:$A$93,0),0)),CNTT!$B$69:$E$69))</f>
        <v>bt</v>
      </c>
      <c r="I26" s="145">
        <v>96</v>
      </c>
      <c r="J26" s="146" t="str">
        <f>IF(DATEDIF(D26,DATE($X$4,$W$4,$V$4),"m")&lt;=60,LOOKUP(2,1/(I26&gt;=INDEX(IF(E26="x",CCTT!$B$4:$E$64,CCTT!$F$4:$I$64),MATCH(DATEDIF(D26,DATE($X$4,$W$4,$V$4),"m"),CCTT!$A$4:$A$64,0),0)),CCTT!$B$3:$E$3),LOOKUP(2,1/(I26&gt;=INDEX(IF(E26="x",CCTT!$B$70:$E$93,CCTT!$F$70:$I$93),MATCH(DATEDIF(D26,DATE($X$4,$W$4,$V$4),"m"),CCTT!$A$70:$A$93,0),0)),CCTT!B$69:E$69))</f>
        <v>bt</v>
      </c>
      <c r="K26" s="146" t="str">
        <f>IF(DATEDIF(D26,DATE($X$4,$W$4,$V$4),"m")&lt;24,LOOKUP(2,1/(G26&gt;=INDEX(IF(E26="x",CNTCC!$B$4:$F$134,CNTCC!$F$4),MATCH(I26,CNTCC!$A$4:$A$134,0),0)),CNTCC!$B$3:$F$3),IF(AND(DATEDIF(D26,DATE($X$4,$W$4,$V$4),"m")&gt;=24,DATEDIF(D26,DATE($X$4,$W$4,$V$4),"m")&lt;=60),LOOKUP(2,1/(G26&gt;=INDEX(IF(E26="x",CNTCC!$B$141:$F$251,CNTCC!$G$141:$K$251),MATCH(I26,CNTCC!$A$141:$A$251,0),0)),CNTCC!$B$140:$F$140),0))</f>
        <v>bt</v>
      </c>
      <c r="L26" s="145" t="s">
        <v>22</v>
      </c>
      <c r="M26" s="145" t="s">
        <v>22</v>
      </c>
      <c r="N26" s="145" t="s">
        <v>22</v>
      </c>
      <c r="O26" s="145" t="s">
        <v>22</v>
      </c>
      <c r="P26" s="145" t="s">
        <v>22</v>
      </c>
      <c r="Q26" s="145" t="s">
        <v>22</v>
      </c>
      <c r="R26" s="147" t="s">
        <v>23</v>
      </c>
      <c r="S26" s="148" t="str">
        <f t="shared" si="0"/>
        <v>Võ Ng. Khánh</v>
      </c>
      <c r="T26" s="148">
        <f t="shared" si="1"/>
        <v>46</v>
      </c>
      <c r="U26" s="148">
        <f t="shared" si="2"/>
        <v>15.190972222222223</v>
      </c>
    </row>
    <row r="27" spans="1:21" s="148" customFormat="1" ht="16.8">
      <c r="A27" s="138">
        <v>18</v>
      </c>
      <c r="B27" s="139" t="s">
        <v>375</v>
      </c>
      <c r="C27" s="140" t="s">
        <v>376</v>
      </c>
      <c r="D27" s="151">
        <v>45277</v>
      </c>
      <c r="E27" s="142" t="s">
        <v>189</v>
      </c>
      <c r="F27" s="150"/>
      <c r="G27" s="144">
        <v>28.1</v>
      </c>
      <c r="H27" s="155" t="str">
        <f>IF(DATEDIF(D27,DATE($X$4,$W$4,$V$4),"m")&lt;=60,LOOKUP(2,1/(G27&gt;=INDEX(IF(E27="x",CNTT!$B$4:$E$64,CNTT!$F$4:$I$64),MATCH(DATEDIF(D27,DATE($X$4,$W$4,$V$4),"m"),CNTT!$A$4:$A$64,0),0)),CNTT!$B$3:$E$3),LOOKUP(2,1/(G27&gt;=INDEX(IF(E27="x",CNTT!$B$70:$E$93,CNTT!$F$70:$I$93),MATCH(DATEDIF(D27,DATE($X$4,$W$4,$V$4),"m"),CNTT!$A$70:$A$93,0),0)),CNTT!$B$69:$E$69))</f>
        <v>CNC</v>
      </c>
      <c r="I27" s="145">
        <v>109</v>
      </c>
      <c r="J27" s="156" t="str">
        <f>IF(DATEDIF(D27,DATE($X$4,$W$4,$V$4),"m")&lt;=60,LOOKUP(2,1/(I27&gt;=INDEX(IF(E27="x",CCTT!$B$4:$E$64,CCTT!$F$4:$I$64),MATCH(DATEDIF(D27,DATE($X$4,$W$4,$V$4),"m"),CCTT!$A$4:$A$64,0),0)),CCTT!$B$3:$E$3),LOOKUP(2,1/(I27&gt;=INDEX(IF(E27="x",CCTT!$B$70:$E$93,CCTT!$F$70:$I$93),MATCH(DATEDIF(D27,DATE($X$4,$W$4,$V$4),"m"),CCTT!$A$70:$A$93,0),0)),CCTT!B$69:E$69))</f>
        <v>CHT</v>
      </c>
      <c r="K27" s="156" t="str">
        <f>IF(DATEDIF(D27,DATE($X$4,$W$4,$V$4),"m")&lt;24,LOOKUP(2,1/(G27&gt;=INDEX(IF(E27="x",CNTCC!$B$4:$F$134,CNTCC!$F$4),MATCH(I27,CNTCC!$A$4:$A$134,0),0)),CNTCC!$B$3:$F$3),IF(AND(DATEDIF(D27,DATE($X$4,$W$4,$V$4),"m")&gt;=24,DATEDIF(D27,DATE($X$4,$W$4,$V$4),"m")&lt;=60),LOOKUP(2,1/(G27&gt;=INDEX(IF(E27="x",CNTCC!$B$141:$F$251,CNTCC!$G$141:$K$251),MATCH(I27,CNTCC!$A$141:$A$251,0),0)),CNTCC!$B$140:$F$140),0))</f>
        <v>BP</v>
      </c>
      <c r="L27" s="145" t="s">
        <v>22</v>
      </c>
      <c r="M27" s="145" t="s">
        <v>22</v>
      </c>
      <c r="N27" s="145" t="s">
        <v>22</v>
      </c>
      <c r="O27" s="145" t="s">
        <v>22</v>
      </c>
      <c r="P27" s="155" t="s">
        <v>438</v>
      </c>
      <c r="Q27" s="145" t="s">
        <v>22</v>
      </c>
      <c r="R27" s="147" t="s">
        <v>81</v>
      </c>
      <c r="S27" s="148" t="str">
        <f t="shared" si="0"/>
        <v>Đặng Thiên</v>
      </c>
      <c r="T27" s="148">
        <f t="shared" si="1"/>
        <v>32</v>
      </c>
      <c r="U27" s="148">
        <f t="shared" si="2"/>
        <v>23.651207810790336</v>
      </c>
    </row>
    <row r="28" spans="1:21" s="148" customFormat="1" ht="16.8">
      <c r="A28" s="138">
        <v>19</v>
      </c>
      <c r="B28" s="139" t="s">
        <v>377</v>
      </c>
      <c r="C28" s="140" t="s">
        <v>302</v>
      </c>
      <c r="D28" s="151">
        <v>44618</v>
      </c>
      <c r="E28" s="142" t="s">
        <v>189</v>
      </c>
      <c r="F28" s="150"/>
      <c r="G28" s="144">
        <v>15</v>
      </c>
      <c r="H28" s="145" t="str">
        <f>IF(DATEDIF(D28,DATE($X$4,$W$4,$V$4),"m")&lt;=60,LOOKUP(2,1/(G28&gt;=INDEX(IF(E28="x",CNTT!$B$4:$E$64,CNTT!$F$4:$I$64),MATCH(DATEDIF(D28,DATE($X$4,$W$4,$V$4),"m"),CNTT!$A$4:$A$64,0),0)),CNTT!$B$3:$E$3),LOOKUP(2,1/(G28&gt;=INDEX(IF(E28="x",CNTT!$B$70:$E$93,CNTT!$F$70:$I$93),MATCH(DATEDIF(D28,DATE($X$4,$W$4,$V$4),"m"),CNTT!$A$70:$A$93,0),0)),CNTT!$B$69:$E$69))</f>
        <v>bt</v>
      </c>
      <c r="I28" s="145">
        <v>103</v>
      </c>
      <c r="J28" s="146" t="str">
        <f>IF(DATEDIF(D28,DATE($X$4,$W$4,$V$4),"m")&lt;=60,LOOKUP(2,1/(I28&gt;=INDEX(IF(E28="x",CCTT!$B$4:$E$64,CCTT!$F$4:$I$64),MATCH(DATEDIF(D28,DATE($X$4,$W$4,$V$4),"m"),CCTT!$A$4:$A$64,0),0)),CCTT!$B$3:$E$3),LOOKUP(2,1/(I28&gt;=INDEX(IF(E28="x",CCTT!$B$70:$E$93,CCTT!$F$70:$I$93),MATCH(DATEDIF(D28,DATE($X$4,$W$4,$V$4),"m"),CCTT!$A$70:$A$93,0),0)),CCTT!B$69:E$69))</f>
        <v>bt</v>
      </c>
      <c r="K28" s="146" t="str">
        <f>IF(DATEDIF(D28,DATE($X$4,$W$4,$V$4),"m")&lt;24,LOOKUP(2,1/(G28&gt;=INDEX(IF(E28="x",CNTCC!$B$4:$F$134,CNTCC!$F$4),MATCH(I28,CNTCC!$A$4:$A$134,0),0)),CNTCC!$B$3:$F$3),IF(AND(DATEDIF(D28,DATE($X$4,$W$4,$V$4),"m")&gt;=24,DATEDIF(D28,DATE($X$4,$W$4,$V$4),"m")&lt;=60),LOOKUP(2,1/(G28&gt;=INDEX(IF(E28="x",CNTCC!$B$141:$F$251,CNTCC!$G$141:$K$251),MATCH(I28,CNTCC!$A$141:$A$251,0),0)),CNTCC!$B$140:$F$140),0))</f>
        <v>bt</v>
      </c>
      <c r="L28" s="145" t="s">
        <v>22</v>
      </c>
      <c r="M28" s="145" t="s">
        <v>22</v>
      </c>
      <c r="N28" s="145" t="s">
        <v>22</v>
      </c>
      <c r="O28" s="145" t="s">
        <v>22</v>
      </c>
      <c r="P28" s="145" t="s">
        <v>22</v>
      </c>
      <c r="Q28" s="145" t="s">
        <v>22</v>
      </c>
      <c r="R28" s="147" t="s">
        <v>23</v>
      </c>
      <c r="S28" s="148" t="str">
        <f t="shared" si="0"/>
        <v xml:space="preserve"> Đặng Nguyễn Minh</v>
      </c>
      <c r="T28" s="148">
        <f t="shared" si="1"/>
        <v>54</v>
      </c>
      <c r="U28" s="148">
        <f t="shared" si="2"/>
        <v>14.138938637006316</v>
      </c>
    </row>
    <row r="29" spans="1:21" s="148" customFormat="1" ht="16.8">
      <c r="A29" s="138">
        <v>20</v>
      </c>
      <c r="B29" s="139" t="s">
        <v>338</v>
      </c>
      <c r="C29" s="140" t="s">
        <v>302</v>
      </c>
      <c r="D29" s="151">
        <v>44778</v>
      </c>
      <c r="E29" s="142" t="s">
        <v>189</v>
      </c>
      <c r="F29" s="150"/>
      <c r="G29" s="144">
        <v>14.2</v>
      </c>
      <c r="H29" s="145" t="str">
        <f>IF(DATEDIF(D29,DATE($X$4,$W$4,$V$4),"m")&lt;=60,LOOKUP(2,1/(G29&gt;=INDEX(IF(E29="x",CNTT!$B$4:$E$64,CNTT!$F$4:$I$64),MATCH(DATEDIF(D29,DATE($X$4,$W$4,$V$4),"m"),CNTT!$A$4:$A$64,0),0)),CNTT!$B$3:$E$3),LOOKUP(2,1/(G29&gt;=INDEX(IF(E29="x",CNTT!$B$70:$E$93,CNTT!$F$70:$I$93),MATCH(DATEDIF(D29,DATE($X$4,$W$4,$V$4),"m"),CNTT!$A$70:$A$93,0),0)),CNTT!$B$69:$E$69))</f>
        <v>bt</v>
      </c>
      <c r="I29" s="145">
        <v>98</v>
      </c>
      <c r="J29" s="146" t="str">
        <f>IF(DATEDIF(D29,DATE($X$4,$W$4,$V$4),"m")&lt;=60,LOOKUP(2,1/(I29&gt;=INDEX(IF(E29="x",CCTT!$B$4:$E$64,CCTT!$F$4:$I$64),MATCH(DATEDIF(D29,DATE($X$4,$W$4,$V$4),"m"),CCTT!$A$4:$A$64,0),0)),CCTT!$B$3:$E$3),LOOKUP(2,1/(I29&gt;=INDEX(IF(E29="x",CCTT!$B$70:$E$93,CCTT!$F$70:$I$93),MATCH(DATEDIF(D29,DATE($X$4,$W$4,$V$4),"m"),CCTT!$A$70:$A$93,0),0)),CCTT!B$69:E$69))</f>
        <v>bt</v>
      </c>
      <c r="K29" s="146" t="str">
        <f>IF(DATEDIF(D29,DATE($X$4,$W$4,$V$4),"m")&lt;24,LOOKUP(2,1/(G29&gt;=INDEX(IF(E29="x",CNTCC!$B$4:$F$134,CNTCC!$F$4),MATCH(I29,CNTCC!$A$4:$A$134,0),0)),CNTCC!$B$3:$F$3),IF(AND(DATEDIF(D29,DATE($X$4,$W$4,$V$4),"m")&gt;=24,DATEDIF(D29,DATE($X$4,$W$4,$V$4),"m")&lt;=60),LOOKUP(2,1/(G29&gt;=INDEX(IF(E29="x",CNTCC!$B$141:$F$251,CNTCC!$G$141:$K$251),MATCH(I29,CNTCC!$A$141:$A$251,0),0)),CNTCC!$B$140:$F$140),0))</f>
        <v>bt</v>
      </c>
      <c r="L29" s="145" t="s">
        <v>22</v>
      </c>
      <c r="M29" s="145" t="s">
        <v>22</v>
      </c>
      <c r="N29" s="145" t="s">
        <v>22</v>
      </c>
      <c r="O29" s="145" t="s">
        <v>22</v>
      </c>
      <c r="P29" s="155" t="s">
        <v>438</v>
      </c>
      <c r="Q29" s="145" t="s">
        <v>22</v>
      </c>
      <c r="R29" s="147" t="s">
        <v>57</v>
      </c>
      <c r="S29" s="148" t="str">
        <f t="shared" si="0"/>
        <v>Nguyễn Hoàng Minh</v>
      </c>
      <c r="T29" s="148">
        <f t="shared" si="1"/>
        <v>48</v>
      </c>
      <c r="U29" s="148">
        <f t="shared" si="2"/>
        <v>14.785506039150354</v>
      </c>
    </row>
    <row r="30" spans="1:21" s="148" customFormat="1" ht="16.8">
      <c r="A30" s="138">
        <v>21</v>
      </c>
      <c r="B30" s="139" t="s">
        <v>378</v>
      </c>
      <c r="C30" s="140" t="s">
        <v>379</v>
      </c>
      <c r="D30" s="151">
        <v>44802</v>
      </c>
      <c r="E30" s="142" t="s">
        <v>189</v>
      </c>
      <c r="F30" s="150"/>
      <c r="G30" s="144">
        <v>25.2</v>
      </c>
      <c r="H30" s="155" t="str">
        <f>IF(DATEDIF(D30,DATE($X$4,$W$4,$V$4),"m")&lt;=60,LOOKUP(2,1/(G30&gt;=INDEX(IF(E30="x",CNTT!$B$4:$E$64,CNTT!$F$4:$I$64),MATCH(DATEDIF(D30,DATE($X$4,$W$4,$V$4),"m"),CNTT!$A$4:$A$64,0),0)),CNTT!$B$3:$E$3),LOOKUP(2,1/(G30&gt;=INDEX(IF(E30="x",CNTT!$B$70:$E$93,CNTT!$F$70:$I$93),MATCH(DATEDIF(D30,DATE($X$4,$W$4,$V$4),"m"),CNTT!$A$70:$A$93,0),0)),CNTT!$B$69:$E$69))</f>
        <v>CNC</v>
      </c>
      <c r="I30" s="145">
        <v>110</v>
      </c>
      <c r="J30" s="146" t="str">
        <f>IF(DATEDIF(D30,DATE($X$4,$W$4,$V$4),"m")&lt;=60,LOOKUP(2,1/(I30&gt;=INDEX(IF(E30="x",CCTT!$B$4:$E$64,CCTT!$F$4:$I$64),MATCH(DATEDIF(D30,DATE($X$4,$W$4,$V$4),"m"),CCTT!$A$4:$A$64,0),0)),CCTT!$B$3:$E$3),LOOKUP(2,1/(I30&gt;=INDEX(IF(E30="x",CCTT!$B$70:$E$93,CCTT!$F$70:$I$93),MATCH(DATEDIF(D30,DATE($X$4,$W$4,$V$4),"m"),CCTT!$A$70:$A$93,0),0)),CCTT!B$69:E$69))</f>
        <v>bt</v>
      </c>
      <c r="K30" s="156" t="str">
        <f>IF(DATEDIF(D30,DATE($X$4,$W$4,$V$4),"m")&lt;24,LOOKUP(2,1/(G30&gt;=INDEX(IF(E30="x",CNTCC!$B$4:$F$134,CNTCC!$F$4),MATCH(I30,CNTCC!$A$4:$A$134,0),0)),CNTCC!$B$3:$F$3),IF(AND(DATEDIF(D30,DATE($X$4,$W$4,$V$4),"m")&gt;=24,DATEDIF(D30,DATE($X$4,$W$4,$V$4),"m")&lt;=60),LOOKUP(2,1/(G30&gt;=INDEX(IF(E30="x",CNTCC!$B$141:$F$251,CNTCC!$G$141:$K$251),MATCH(I30,CNTCC!$A$141:$A$251,0),0)),CNTCC!$B$140:$F$140),0))</f>
        <v>BP</v>
      </c>
      <c r="L30" s="145" t="s">
        <v>22</v>
      </c>
      <c r="M30" s="145" t="s">
        <v>22</v>
      </c>
      <c r="N30" s="145" t="s">
        <v>22</v>
      </c>
      <c r="O30" s="145" t="s">
        <v>22</v>
      </c>
      <c r="P30" s="155" t="s">
        <v>438</v>
      </c>
      <c r="Q30" s="145" t="s">
        <v>22</v>
      </c>
      <c r="R30" s="147" t="s">
        <v>81</v>
      </c>
      <c r="S30" s="148" t="str">
        <f t="shared" si="0"/>
        <v>Nguyễn Quốc</v>
      </c>
      <c r="T30" s="148">
        <f t="shared" si="1"/>
        <v>48</v>
      </c>
      <c r="U30" s="148">
        <f t="shared" si="2"/>
        <v>20.826446280991732</v>
      </c>
    </row>
    <row r="31" spans="1:21" s="148" customFormat="1" ht="16.8">
      <c r="A31" s="138">
        <v>22</v>
      </c>
      <c r="B31" s="139" t="s">
        <v>380</v>
      </c>
      <c r="C31" s="140" t="s">
        <v>381</v>
      </c>
      <c r="D31" s="151">
        <v>44700</v>
      </c>
      <c r="E31" s="142" t="s">
        <v>189</v>
      </c>
      <c r="F31" s="150"/>
      <c r="G31" s="144">
        <v>18.8</v>
      </c>
      <c r="H31" s="145" t="str">
        <f>IF(DATEDIF(D31,DATE($X$4,$W$4,$V$4),"m")&lt;=60,LOOKUP(2,1/(G31&gt;=INDEX(IF(E31="x",CNTT!$B$4:$E$64,CNTT!$F$4:$I$64),MATCH(DATEDIF(D31,DATE($X$4,$W$4,$V$4),"m"),CNTT!$A$4:$A$64,0),0)),CNTT!$B$3:$E$3),LOOKUP(2,1/(G31&gt;=INDEX(IF(E31="x",CNTT!$B$70:$E$93,CNTT!$F$70:$I$93),MATCH(DATEDIF(D31,DATE($X$4,$W$4,$V$4),"m"),CNTT!$A$70:$A$93,0),0)),CNTT!$B$69:$E$69))</f>
        <v>bt</v>
      </c>
      <c r="I31" s="145">
        <v>103</v>
      </c>
      <c r="J31" s="146" t="str">
        <f>IF(DATEDIF(D31,DATE($X$4,$W$4,$V$4),"m")&lt;=60,LOOKUP(2,1/(I31&gt;=INDEX(IF(E31="x",CCTT!$B$4:$E$64,CCTT!$F$4:$I$64),MATCH(DATEDIF(D31,DATE($X$4,$W$4,$V$4),"m"),CCTT!$A$4:$A$64,0),0)),CCTT!$B$3:$E$3),LOOKUP(2,1/(I31&gt;=INDEX(IF(E31="x",CCTT!$B$70:$E$93,CCTT!$F$70:$I$93),MATCH(DATEDIF(D31,DATE($X$4,$W$4,$V$4),"m"),CCTT!$A$70:$A$93,0),0)),CCTT!B$69:E$69))</f>
        <v>bt</v>
      </c>
      <c r="K31" s="156" t="s">
        <v>33</v>
      </c>
      <c r="L31" s="145" t="s">
        <v>22</v>
      </c>
      <c r="M31" s="145" t="s">
        <v>22</v>
      </c>
      <c r="N31" s="145" t="s">
        <v>22</v>
      </c>
      <c r="O31" s="145" t="s">
        <v>22</v>
      </c>
      <c r="P31" s="145" t="s">
        <v>22</v>
      </c>
      <c r="Q31" s="145" t="s">
        <v>22</v>
      </c>
      <c r="R31" s="147" t="s">
        <v>57</v>
      </c>
      <c r="S31" s="148" t="str">
        <f t="shared" si="0"/>
        <v>Trần Hoàng</v>
      </c>
      <c r="T31" s="148">
        <f t="shared" si="1"/>
        <v>51</v>
      </c>
      <c r="U31" s="148">
        <f t="shared" si="2"/>
        <v>17.720803091714583</v>
      </c>
    </row>
    <row r="32" spans="1:21" ht="16.8">
      <c r="A32" s="68"/>
      <c r="B32" s="74"/>
      <c r="C32" s="69"/>
      <c r="D32" s="75"/>
      <c r="E32" s="70"/>
      <c r="F32" s="70"/>
      <c r="G32" s="70"/>
      <c r="H32" s="71"/>
      <c r="I32" s="70"/>
      <c r="J32" s="94"/>
      <c r="K32" s="94"/>
      <c r="L32" s="71"/>
      <c r="M32" s="76"/>
      <c r="N32" s="71"/>
      <c r="O32" s="71"/>
      <c r="P32" s="71"/>
      <c r="Q32" s="71"/>
      <c r="R32" s="73"/>
    </row>
    <row r="33" spans="1:18" s="3" customFormat="1">
      <c r="A33" s="93"/>
      <c r="C33" s="13"/>
      <c r="D33" s="13" t="s">
        <v>24</v>
      </c>
      <c r="E33" s="13"/>
      <c r="F33" s="13"/>
      <c r="G33" s="14"/>
      <c r="H33" s="14"/>
      <c r="I33" s="14"/>
      <c r="J33" s="14"/>
      <c r="K33" s="14"/>
      <c r="L33" s="15"/>
      <c r="M33" s="15"/>
      <c r="N33" s="15"/>
      <c r="O33" s="15"/>
      <c r="P33" s="15"/>
      <c r="Q33" s="15"/>
      <c r="R33" s="14"/>
    </row>
    <row r="34" spans="1:18" s="3" customFormat="1">
      <c r="B34" s="15"/>
      <c r="C34" s="15"/>
      <c r="D34" s="15"/>
      <c r="E34" s="15"/>
      <c r="F34" s="15"/>
      <c r="G34" s="14"/>
      <c r="H34" s="14"/>
      <c r="I34" s="14"/>
      <c r="J34" s="14"/>
      <c r="K34" s="14"/>
      <c r="L34" s="15"/>
      <c r="M34" s="15"/>
      <c r="N34" s="15"/>
      <c r="O34" s="15"/>
      <c r="P34" s="15"/>
      <c r="Q34" s="15"/>
      <c r="R34" s="14"/>
    </row>
    <row r="35" spans="1:18" s="3" customFormat="1">
      <c r="A35" s="16" t="s">
        <v>25</v>
      </c>
      <c r="C35" s="15" t="s">
        <v>26</v>
      </c>
      <c r="D35" s="15"/>
      <c r="E35" s="15"/>
      <c r="F35" s="15"/>
      <c r="G35" s="14"/>
      <c r="H35" s="14"/>
      <c r="I35" s="16" t="s">
        <v>27</v>
      </c>
      <c r="J35" s="15"/>
      <c r="K35" s="15"/>
      <c r="L35" s="15" t="s">
        <v>28</v>
      </c>
      <c r="M35" s="15"/>
      <c r="N35" s="15"/>
      <c r="O35" s="15"/>
      <c r="P35" s="15"/>
      <c r="Q35" s="15"/>
      <c r="R35" s="14"/>
    </row>
    <row r="36" spans="1:18" s="3" customFormat="1">
      <c r="A36" s="16" t="s">
        <v>29</v>
      </c>
      <c r="C36" s="15" t="s">
        <v>30</v>
      </c>
      <c r="D36" s="15"/>
      <c r="E36" s="15"/>
      <c r="F36" s="15"/>
      <c r="G36" s="14"/>
      <c r="H36" s="14"/>
      <c r="I36" s="16" t="s">
        <v>31</v>
      </c>
      <c r="J36" s="15"/>
      <c r="K36" s="15"/>
      <c r="L36" s="15" t="s">
        <v>32</v>
      </c>
      <c r="M36" s="15"/>
      <c r="N36" s="15"/>
      <c r="O36" s="15"/>
      <c r="P36" s="15"/>
      <c r="Q36" s="15"/>
      <c r="R36" s="14"/>
    </row>
    <row r="37" spans="1:18" s="3" customFormat="1">
      <c r="A37" s="16" t="s">
        <v>33</v>
      </c>
      <c r="C37" s="15" t="s">
        <v>34</v>
      </c>
      <c r="D37" s="15"/>
      <c r="E37" s="15"/>
      <c r="F37" s="15"/>
      <c r="G37" s="14"/>
      <c r="H37" s="14"/>
      <c r="I37" s="16" t="s">
        <v>35</v>
      </c>
      <c r="J37" s="15"/>
      <c r="K37" s="15"/>
      <c r="L37" s="15" t="s">
        <v>36</v>
      </c>
      <c r="M37" s="15"/>
      <c r="N37" s="15"/>
      <c r="O37" s="15"/>
      <c r="P37" s="15"/>
      <c r="Q37" s="15"/>
      <c r="R37" s="14"/>
    </row>
    <row r="38" spans="1:18" s="3" customFormat="1">
      <c r="A38" s="16" t="s">
        <v>37</v>
      </c>
      <c r="C38" s="15" t="s">
        <v>38</v>
      </c>
      <c r="D38" s="15"/>
      <c r="E38" s="15"/>
      <c r="F38" s="15"/>
      <c r="G38" s="14"/>
      <c r="H38" s="14"/>
      <c r="I38" s="16" t="s">
        <v>39</v>
      </c>
      <c r="J38" s="15"/>
      <c r="K38" s="15"/>
      <c r="L38" s="15" t="s">
        <v>40</v>
      </c>
      <c r="M38" s="15"/>
      <c r="N38" s="15"/>
      <c r="O38" s="15"/>
      <c r="P38" s="15"/>
      <c r="Q38" s="15"/>
      <c r="R38" s="14"/>
    </row>
    <row r="39" spans="1:18">
      <c r="A39" s="16" t="s">
        <v>41</v>
      </c>
      <c r="C39" s="15" t="s">
        <v>42</v>
      </c>
      <c r="D39" s="15"/>
      <c r="E39" s="15"/>
      <c r="F39" s="15"/>
      <c r="G39" s="14"/>
      <c r="H39" s="14"/>
      <c r="I39" s="16" t="s">
        <v>43</v>
      </c>
      <c r="J39" s="15"/>
      <c r="K39" s="15"/>
      <c r="L39" s="15" t="s">
        <v>44</v>
      </c>
      <c r="M39" s="15"/>
      <c r="N39" s="15"/>
      <c r="O39" s="15"/>
      <c r="P39" s="15"/>
      <c r="Q39" s="15"/>
      <c r="R39" s="14"/>
    </row>
    <row r="40" spans="1:18">
      <c r="A40" s="4" t="s">
        <v>45</v>
      </c>
      <c r="C40" s="3" t="s">
        <v>46</v>
      </c>
      <c r="I40" s="5" t="s">
        <v>47</v>
      </c>
      <c r="L40" s="4" t="s">
        <v>48</v>
      </c>
    </row>
    <row r="41" spans="1:18">
      <c r="A41" s="4" t="s">
        <v>49</v>
      </c>
      <c r="C41" s="3" t="s">
        <v>50</v>
      </c>
      <c r="I41" s="5" t="s">
        <v>51</v>
      </c>
      <c r="L41" s="4" t="s">
        <v>52</v>
      </c>
    </row>
    <row r="42" spans="1:18">
      <c r="A42" s="4" t="s">
        <v>53</v>
      </c>
      <c r="C42" s="3" t="s">
        <v>54</v>
      </c>
      <c r="I42" s="5" t="s">
        <v>55</v>
      </c>
      <c r="L42" s="4" t="s">
        <v>56</v>
      </c>
    </row>
  </sheetData>
  <autoFilter ref="A9:WWA31"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3EBF-6950-4B13-9129-936596B03A97}">
  <sheetPr>
    <tabColor rgb="FF92D050"/>
  </sheetPr>
  <dimension ref="A1:AK44"/>
  <sheetViews>
    <sheetView zoomScale="62" zoomScaleNormal="62" zoomScaleSheetLayoutView="100" workbookViewId="0">
      <pane ySplit="9" topLeftCell="A10" activePane="bottomLeft" state="frozen"/>
      <selection activeCell="T34" sqref="T34"/>
      <selection pane="bottomLeft" activeCell="P12" sqref="P12:P22"/>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10.5546875"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410</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46.8">
      <c r="A10" s="138">
        <v>1</v>
      </c>
      <c r="B10" s="139" t="s">
        <v>384</v>
      </c>
      <c r="C10" s="140" t="s">
        <v>158</v>
      </c>
      <c r="D10" s="141">
        <v>44561</v>
      </c>
      <c r="E10" s="142" t="s">
        <v>189</v>
      </c>
      <c r="F10" s="143"/>
      <c r="G10" s="144">
        <v>24</v>
      </c>
      <c r="H10" s="155" t="s">
        <v>41</v>
      </c>
      <c r="I10" s="145">
        <v>113</v>
      </c>
      <c r="J10" s="146" t="s">
        <v>270</v>
      </c>
      <c r="K10" s="156" t="s">
        <v>33</v>
      </c>
      <c r="L10" s="145" t="s">
        <v>22</v>
      </c>
      <c r="M10" s="155" t="s">
        <v>51</v>
      </c>
      <c r="N10" s="157" t="s">
        <v>444</v>
      </c>
      <c r="O10" s="145" t="s">
        <v>22</v>
      </c>
      <c r="P10" s="145" t="s">
        <v>22</v>
      </c>
      <c r="Q10" s="145" t="s">
        <v>22</v>
      </c>
      <c r="R10" s="147" t="s">
        <v>57</v>
      </c>
      <c r="S10" s="148" t="str">
        <f>PROPER(B10)</f>
        <v>Võ Phan Việt</v>
      </c>
      <c r="T10" s="148">
        <f>DATEDIF(D10,DATE($X$4,$W$4,$V$4),"m")</f>
        <v>56</v>
      </c>
      <c r="U10" s="148">
        <f>G10/(I10/100)^2</f>
        <v>18.795520400971107</v>
      </c>
      <c r="W10" s="145"/>
      <c r="Y10" s="146">
        <f>COUNTIF(H10:H33,Y9)</f>
        <v>18</v>
      </c>
      <c r="Z10" s="146">
        <f>COUNTIF(H10:H33,Z9)</f>
        <v>0</v>
      </c>
      <c r="AA10" s="146">
        <f>COUNTIF(H10:H33,AA9)</f>
        <v>6</v>
      </c>
      <c r="AB10" s="146">
        <f>COUNTIF(J10:J33,AB9)</f>
        <v>22</v>
      </c>
      <c r="AC10" s="146">
        <f>COUNTIF(J10:J33,AC9)</f>
        <v>1</v>
      </c>
      <c r="AD10" s="146">
        <f>COUNTIF(J10:J33,AD9)</f>
        <v>1</v>
      </c>
      <c r="AE10" s="146">
        <f>COUNTIF(K10:K33,AE9)</f>
        <v>20</v>
      </c>
      <c r="AF10" s="146">
        <f>COUNTIF(K10:K33,AF9)</f>
        <v>2</v>
      </c>
      <c r="AG10" s="146">
        <f>COUNTIF(K10:K33,AG9)</f>
        <v>2</v>
      </c>
      <c r="AH10" s="146">
        <f>COUNTIF(K10:K33,AH9)</f>
        <v>0</v>
      </c>
      <c r="AI10" s="146">
        <f>COUNTIF(R10:R33,AI9)</f>
        <v>14</v>
      </c>
      <c r="AJ10" s="146">
        <f>COUNTIF(R10:R33,AJ9)</f>
        <v>8</v>
      </c>
      <c r="AK10" s="146">
        <f>COUNTIF(R10:R33,AK9)</f>
        <v>2</v>
      </c>
    </row>
    <row r="11" spans="1:37" s="148" customFormat="1" ht="16.8">
      <c r="A11" s="138">
        <v>2</v>
      </c>
      <c r="B11" s="139" t="s">
        <v>385</v>
      </c>
      <c r="C11" s="149" t="s">
        <v>158</v>
      </c>
      <c r="D11" s="141">
        <v>44459</v>
      </c>
      <c r="E11" s="142"/>
      <c r="F11" s="150" t="s">
        <v>189</v>
      </c>
      <c r="G11" s="144">
        <v>21.9</v>
      </c>
      <c r="H11" s="155" t="s">
        <v>41</v>
      </c>
      <c r="I11" s="145">
        <v>113</v>
      </c>
      <c r="J11" s="146" t="s">
        <v>270</v>
      </c>
      <c r="K11" s="146" t="s">
        <v>270</v>
      </c>
      <c r="L11" s="145" t="s">
        <v>22</v>
      </c>
      <c r="M11" s="155" t="s">
        <v>47</v>
      </c>
      <c r="N11" s="145" t="s">
        <v>22</v>
      </c>
      <c r="O11" s="145" t="s">
        <v>22</v>
      </c>
      <c r="P11" s="145" t="s">
        <v>22</v>
      </c>
      <c r="Q11" s="145" t="s">
        <v>22</v>
      </c>
      <c r="R11" s="147" t="s">
        <v>57</v>
      </c>
      <c r="S11" s="148" t="str">
        <f t="shared" ref="S11:S33" si="0">PROPER(B11)</f>
        <v>Nguyễn Kim</v>
      </c>
      <c r="T11" s="148">
        <f t="shared" ref="T11:T33" si="1">DATEDIF(D11,DATE($X$4,$W$4,$V$4),"m")</f>
        <v>59</v>
      </c>
      <c r="U11" s="148">
        <f t="shared" ref="U11:U33" si="2">G11/(I11/100)^2</f>
        <v>17.150912365886132</v>
      </c>
      <c r="Y11" s="148">
        <f>SUM(Y10:AA10)</f>
        <v>24</v>
      </c>
    </row>
    <row r="12" spans="1:37" s="148" customFormat="1" ht="16.8">
      <c r="A12" s="138">
        <v>3</v>
      </c>
      <c r="B12" s="139" t="s">
        <v>386</v>
      </c>
      <c r="C12" s="149" t="s">
        <v>356</v>
      </c>
      <c r="D12" s="151">
        <v>44574</v>
      </c>
      <c r="E12" s="142" t="s">
        <v>189</v>
      </c>
      <c r="F12" s="143"/>
      <c r="G12" s="144">
        <v>25.9</v>
      </c>
      <c r="H12" s="155" t="s">
        <v>41</v>
      </c>
      <c r="I12" s="145">
        <v>113</v>
      </c>
      <c r="J12" s="146" t="s">
        <v>270</v>
      </c>
      <c r="K12" s="156" t="s">
        <v>33</v>
      </c>
      <c r="L12" s="145" t="s">
        <v>22</v>
      </c>
      <c r="M12" s="145" t="s">
        <v>22</v>
      </c>
      <c r="N12" s="145" t="s">
        <v>22</v>
      </c>
      <c r="O12" s="145" t="s">
        <v>22</v>
      </c>
      <c r="P12" s="155" t="s">
        <v>438</v>
      </c>
      <c r="Q12" s="145" t="s">
        <v>22</v>
      </c>
      <c r="R12" s="147" t="s">
        <v>57</v>
      </c>
      <c r="S12" s="148" t="str">
        <f t="shared" si="0"/>
        <v>Hà Thiên</v>
      </c>
      <c r="T12" s="148">
        <f t="shared" si="1"/>
        <v>55</v>
      </c>
      <c r="U12" s="148">
        <f t="shared" si="2"/>
        <v>20.283499099381316</v>
      </c>
      <c r="Y12" s="148">
        <f>SUM(AB10:AD10)</f>
        <v>24</v>
      </c>
    </row>
    <row r="13" spans="1:37" s="148" customFormat="1" ht="18" customHeight="1">
      <c r="A13" s="138">
        <v>4</v>
      </c>
      <c r="B13" s="139" t="s">
        <v>174</v>
      </c>
      <c r="C13" s="149" t="s">
        <v>191</v>
      </c>
      <c r="D13" s="151">
        <v>44346</v>
      </c>
      <c r="E13" s="142"/>
      <c r="F13" s="143" t="s">
        <v>189</v>
      </c>
      <c r="G13" s="144">
        <v>22.2</v>
      </c>
      <c r="H13" s="145" t="s">
        <v>270</v>
      </c>
      <c r="I13" s="145">
        <v>118</v>
      </c>
      <c r="J13" s="146" t="s">
        <v>270</v>
      </c>
      <c r="K13" s="146" t="s">
        <v>270</v>
      </c>
      <c r="L13" s="145" t="s">
        <v>22</v>
      </c>
      <c r="M13" s="145" t="s">
        <v>22</v>
      </c>
      <c r="N13" s="145" t="s">
        <v>22</v>
      </c>
      <c r="O13" s="145" t="s">
        <v>22</v>
      </c>
      <c r="P13" s="155" t="s">
        <v>439</v>
      </c>
      <c r="Q13" s="145" t="s">
        <v>22</v>
      </c>
      <c r="R13" s="147" t="s">
        <v>57</v>
      </c>
      <c r="S13" s="148" t="str">
        <f t="shared" si="0"/>
        <v>Nguyễn Ngọc Bảo</v>
      </c>
      <c r="T13" s="148">
        <f t="shared" si="1"/>
        <v>63</v>
      </c>
      <c r="U13" s="148">
        <f t="shared" si="2"/>
        <v>15.943694340706694</v>
      </c>
      <c r="Y13" s="148">
        <f>SUM(AE10:AH10)</f>
        <v>24</v>
      </c>
    </row>
    <row r="14" spans="1:37" s="148" customFormat="1" ht="16.8">
      <c r="A14" s="138">
        <v>5</v>
      </c>
      <c r="B14" s="139" t="s">
        <v>387</v>
      </c>
      <c r="C14" s="149" t="s">
        <v>360</v>
      </c>
      <c r="D14" s="151">
        <v>44390</v>
      </c>
      <c r="E14" s="142" t="s">
        <v>189</v>
      </c>
      <c r="F14" s="150"/>
      <c r="G14" s="144">
        <v>19.399999999999999</v>
      </c>
      <c r="H14" s="145" t="s">
        <v>270</v>
      </c>
      <c r="I14" s="145">
        <v>105</v>
      </c>
      <c r="J14" s="146" t="s">
        <v>270</v>
      </c>
      <c r="K14" s="146" t="s">
        <v>270</v>
      </c>
      <c r="L14" s="145" t="s">
        <v>22</v>
      </c>
      <c r="M14" s="145" t="s">
        <v>22</v>
      </c>
      <c r="N14" s="145" t="s">
        <v>22</v>
      </c>
      <c r="O14" s="145" t="s">
        <v>22</v>
      </c>
      <c r="P14" s="145" t="s">
        <v>22</v>
      </c>
      <c r="Q14" s="145" t="s">
        <v>22</v>
      </c>
      <c r="R14" s="147" t="s">
        <v>23</v>
      </c>
      <c r="S14" s="148" t="str">
        <f t="shared" si="0"/>
        <v xml:space="preserve">Nguyễn Trí </v>
      </c>
      <c r="T14" s="148">
        <f t="shared" si="1"/>
        <v>61</v>
      </c>
      <c r="U14" s="148">
        <f t="shared" si="2"/>
        <v>17.596371882086167</v>
      </c>
      <c r="Y14" s="148">
        <f>SUM(AI10:AK10)</f>
        <v>24</v>
      </c>
    </row>
    <row r="15" spans="1:37" s="148" customFormat="1" ht="16.8">
      <c r="A15" s="138">
        <v>6</v>
      </c>
      <c r="B15" s="139" t="s">
        <v>388</v>
      </c>
      <c r="C15" s="149" t="s">
        <v>389</v>
      </c>
      <c r="D15" s="151">
        <v>44227</v>
      </c>
      <c r="E15" s="142" t="s">
        <v>189</v>
      </c>
      <c r="F15" s="143"/>
      <c r="G15" s="144">
        <v>21.8</v>
      </c>
      <c r="H15" s="145" t="s">
        <v>270</v>
      </c>
      <c r="I15" s="145">
        <v>120</v>
      </c>
      <c r="J15" s="146" t="s">
        <v>270</v>
      </c>
      <c r="K15" s="146" t="s">
        <v>270</v>
      </c>
      <c r="L15" s="145" t="s">
        <v>22</v>
      </c>
      <c r="M15" s="145" t="s">
        <v>22</v>
      </c>
      <c r="N15" s="145" t="s">
        <v>22</v>
      </c>
      <c r="O15" s="145" t="s">
        <v>22</v>
      </c>
      <c r="P15" s="155" t="s">
        <v>438</v>
      </c>
      <c r="Q15" s="145" t="s">
        <v>22</v>
      </c>
      <c r="R15" s="147" t="s">
        <v>57</v>
      </c>
      <c r="S15" s="148" t="str">
        <f t="shared" si="0"/>
        <v xml:space="preserve">Hoàng Gia </v>
      </c>
      <c r="T15" s="148">
        <f t="shared" si="1"/>
        <v>67</v>
      </c>
      <c r="U15" s="148">
        <f t="shared" si="2"/>
        <v>15.138888888888889</v>
      </c>
    </row>
    <row r="16" spans="1:37" s="148" customFormat="1" ht="16.8">
      <c r="A16" s="138">
        <v>7</v>
      </c>
      <c r="B16" s="139" t="s">
        <v>390</v>
      </c>
      <c r="C16" s="149" t="s">
        <v>177</v>
      </c>
      <c r="D16" s="151">
        <v>44485</v>
      </c>
      <c r="E16" s="142"/>
      <c r="F16" s="143" t="s">
        <v>189</v>
      </c>
      <c r="G16" s="144">
        <v>27.3</v>
      </c>
      <c r="H16" s="155" t="s">
        <v>41</v>
      </c>
      <c r="I16" s="145">
        <v>111</v>
      </c>
      <c r="J16" s="146" t="s">
        <v>270</v>
      </c>
      <c r="K16" s="156" t="s">
        <v>37</v>
      </c>
      <c r="L16" s="145" t="s">
        <v>22</v>
      </c>
      <c r="M16" s="145" t="s">
        <v>22</v>
      </c>
      <c r="N16" s="145" t="s">
        <v>22</v>
      </c>
      <c r="O16" s="145" t="s">
        <v>22</v>
      </c>
      <c r="P16" s="145" t="s">
        <v>22</v>
      </c>
      <c r="Q16" s="145" t="s">
        <v>22</v>
      </c>
      <c r="R16" s="147" t="s">
        <v>81</v>
      </c>
      <c r="S16" s="148" t="str">
        <f t="shared" si="0"/>
        <v>Nguyễn Lê Khả</v>
      </c>
      <c r="T16" s="148">
        <f t="shared" si="1"/>
        <v>58</v>
      </c>
      <c r="U16" s="148">
        <f t="shared" si="2"/>
        <v>22.157292427562695</v>
      </c>
    </row>
    <row r="17" spans="1:21" s="148" customFormat="1" ht="16.8">
      <c r="A17" s="138">
        <v>8</v>
      </c>
      <c r="B17" s="152" t="s">
        <v>391</v>
      </c>
      <c r="C17" s="153" t="s">
        <v>177</v>
      </c>
      <c r="D17" s="151">
        <v>44337</v>
      </c>
      <c r="E17" s="142"/>
      <c r="F17" s="150" t="s">
        <v>189</v>
      </c>
      <c r="G17" s="144">
        <v>22.1</v>
      </c>
      <c r="H17" s="145" t="s">
        <v>270</v>
      </c>
      <c r="I17" s="145">
        <v>118</v>
      </c>
      <c r="J17" s="146" t="s">
        <v>270</v>
      </c>
      <c r="K17" s="146" t="s">
        <v>270</v>
      </c>
      <c r="L17" s="145" t="s">
        <v>22</v>
      </c>
      <c r="M17" s="145" t="s">
        <v>22</v>
      </c>
      <c r="N17" s="145" t="s">
        <v>22</v>
      </c>
      <c r="O17" s="145" t="s">
        <v>22</v>
      </c>
      <c r="P17" s="145" t="s">
        <v>22</v>
      </c>
      <c r="Q17" s="145" t="s">
        <v>22</v>
      </c>
      <c r="R17" s="147" t="s">
        <v>23</v>
      </c>
      <c r="S17" s="148" t="str">
        <f t="shared" si="0"/>
        <v>Hồ Khánh</v>
      </c>
      <c r="T17" s="148">
        <f t="shared" si="1"/>
        <v>63</v>
      </c>
      <c r="U17" s="148">
        <f t="shared" si="2"/>
        <v>15.87187589773054</v>
      </c>
    </row>
    <row r="18" spans="1:21" s="148" customFormat="1" ht="16.8">
      <c r="A18" s="138">
        <v>9</v>
      </c>
      <c r="B18" s="139" t="s">
        <v>392</v>
      </c>
      <c r="C18" s="149" t="s">
        <v>393</v>
      </c>
      <c r="D18" s="154">
        <v>44483</v>
      </c>
      <c r="E18" s="142" t="s">
        <v>189</v>
      </c>
      <c r="F18" s="150"/>
      <c r="G18" s="144">
        <v>19.399999999999999</v>
      </c>
      <c r="H18" s="145" t="s">
        <v>270</v>
      </c>
      <c r="I18" s="145">
        <v>109</v>
      </c>
      <c r="J18" s="146" t="s">
        <v>270</v>
      </c>
      <c r="K18" s="146" t="s">
        <v>270</v>
      </c>
      <c r="L18" s="145" t="s">
        <v>22</v>
      </c>
      <c r="M18" s="145" t="s">
        <v>22</v>
      </c>
      <c r="N18" s="145" t="s">
        <v>22</v>
      </c>
      <c r="O18" s="145" t="s">
        <v>22</v>
      </c>
      <c r="P18" s="145" t="s">
        <v>22</v>
      </c>
      <c r="Q18" s="145" t="s">
        <v>22</v>
      </c>
      <c r="R18" s="147" t="s">
        <v>23</v>
      </c>
      <c r="S18" s="148" t="str">
        <f t="shared" si="0"/>
        <v>Đỗ Trần Quốc</v>
      </c>
      <c r="T18" s="148">
        <f t="shared" si="1"/>
        <v>58</v>
      </c>
      <c r="U18" s="148">
        <f t="shared" si="2"/>
        <v>16.328591869371262</v>
      </c>
    </row>
    <row r="19" spans="1:21" s="148" customFormat="1" ht="16.8">
      <c r="A19" s="138">
        <v>10</v>
      </c>
      <c r="B19" s="139" t="s">
        <v>394</v>
      </c>
      <c r="C19" s="140" t="s">
        <v>395</v>
      </c>
      <c r="D19" s="151">
        <v>44681</v>
      </c>
      <c r="E19" s="142"/>
      <c r="F19" s="150" t="s">
        <v>189</v>
      </c>
      <c r="G19" s="144">
        <v>20.5</v>
      </c>
      <c r="H19" s="145" t="s">
        <v>270</v>
      </c>
      <c r="I19" s="145">
        <v>109</v>
      </c>
      <c r="J19" s="146" t="s">
        <v>270</v>
      </c>
      <c r="K19" s="146" t="s">
        <v>270</v>
      </c>
      <c r="L19" s="145" t="s">
        <v>22</v>
      </c>
      <c r="M19" s="145" t="s">
        <v>22</v>
      </c>
      <c r="N19" s="145" t="s">
        <v>22</v>
      </c>
      <c r="O19" s="145" t="s">
        <v>22</v>
      </c>
      <c r="P19" s="145" t="s">
        <v>22</v>
      </c>
      <c r="Q19" s="145" t="s">
        <v>22</v>
      </c>
      <c r="R19" s="147" t="s">
        <v>23</v>
      </c>
      <c r="S19" s="148" t="str">
        <f t="shared" si="0"/>
        <v>Hoàng Nguyễn</v>
      </c>
      <c r="T19" s="148">
        <f t="shared" si="1"/>
        <v>52</v>
      </c>
      <c r="U19" s="148">
        <f t="shared" si="2"/>
        <v>17.254439861964478</v>
      </c>
    </row>
    <row r="20" spans="1:21" s="148" customFormat="1" ht="16.8">
      <c r="A20" s="138">
        <v>11</v>
      </c>
      <c r="B20" s="139" t="s">
        <v>396</v>
      </c>
      <c r="C20" s="140" t="s">
        <v>157</v>
      </c>
      <c r="D20" s="151">
        <v>44414</v>
      </c>
      <c r="E20" s="142" t="s">
        <v>189</v>
      </c>
      <c r="F20" s="150"/>
      <c r="G20" s="144">
        <v>34</v>
      </c>
      <c r="H20" s="155" t="s">
        <v>41</v>
      </c>
      <c r="I20" s="145">
        <v>122</v>
      </c>
      <c r="J20" s="156" t="s">
        <v>92</v>
      </c>
      <c r="K20" s="156" t="s">
        <v>37</v>
      </c>
      <c r="L20" s="145" t="s">
        <v>22</v>
      </c>
      <c r="M20" s="145" t="s">
        <v>22</v>
      </c>
      <c r="N20" s="155" t="s">
        <v>55</v>
      </c>
      <c r="O20" s="145" t="s">
        <v>22</v>
      </c>
      <c r="P20" s="155" t="s">
        <v>438</v>
      </c>
      <c r="Q20" s="145" t="s">
        <v>22</v>
      </c>
      <c r="R20" s="147" t="s">
        <v>81</v>
      </c>
      <c r="S20" s="148" t="str">
        <f t="shared" si="0"/>
        <v>Phan Phúc</v>
      </c>
      <c r="T20" s="148">
        <f t="shared" si="1"/>
        <v>60</v>
      </c>
      <c r="U20" s="148">
        <f t="shared" si="2"/>
        <v>22.843321687718355</v>
      </c>
    </row>
    <row r="21" spans="1:21" s="148" customFormat="1" ht="16.8">
      <c r="A21" s="138">
        <v>12</v>
      </c>
      <c r="B21" s="139" t="s">
        <v>397</v>
      </c>
      <c r="C21" s="140" t="s">
        <v>157</v>
      </c>
      <c r="D21" s="151">
        <v>44213</v>
      </c>
      <c r="E21" s="142" t="s">
        <v>189</v>
      </c>
      <c r="F21" s="150"/>
      <c r="G21" s="144">
        <v>23.1</v>
      </c>
      <c r="H21" s="145" t="s">
        <v>270</v>
      </c>
      <c r="I21" s="145">
        <v>116</v>
      </c>
      <c r="J21" s="146" t="s">
        <v>270</v>
      </c>
      <c r="K21" s="146" t="s">
        <v>270</v>
      </c>
      <c r="L21" s="145" t="s">
        <v>22</v>
      </c>
      <c r="M21" s="145" t="s">
        <v>22</v>
      </c>
      <c r="N21" s="145" t="s">
        <v>22</v>
      </c>
      <c r="O21" s="145" t="s">
        <v>22</v>
      </c>
      <c r="P21" s="145" t="s">
        <v>22</v>
      </c>
      <c r="Q21" s="145" t="s">
        <v>22</v>
      </c>
      <c r="R21" s="147" t="s">
        <v>23</v>
      </c>
      <c r="S21" s="148" t="str">
        <f t="shared" si="0"/>
        <v>Nguyễn Đặng Huy</v>
      </c>
      <c r="T21" s="148">
        <f t="shared" si="1"/>
        <v>67</v>
      </c>
      <c r="U21" s="148">
        <f t="shared" si="2"/>
        <v>17.167063020214034</v>
      </c>
    </row>
    <row r="22" spans="1:21" s="148" customFormat="1" ht="16.8">
      <c r="A22" s="138">
        <v>13</v>
      </c>
      <c r="B22" s="139" t="s">
        <v>398</v>
      </c>
      <c r="C22" s="140" t="s">
        <v>155</v>
      </c>
      <c r="D22" s="151">
        <v>44476</v>
      </c>
      <c r="E22" s="142" t="s">
        <v>189</v>
      </c>
      <c r="F22" s="150"/>
      <c r="G22" s="144">
        <v>17.2</v>
      </c>
      <c r="H22" s="145" t="s">
        <v>270</v>
      </c>
      <c r="I22" s="145">
        <v>112</v>
      </c>
      <c r="J22" s="146" t="s">
        <v>270</v>
      </c>
      <c r="K22" s="146" t="s">
        <v>270</v>
      </c>
      <c r="L22" s="145" t="s">
        <v>22</v>
      </c>
      <c r="M22" s="145" t="s">
        <v>22</v>
      </c>
      <c r="N22" s="145" t="s">
        <v>22</v>
      </c>
      <c r="O22" s="145" t="s">
        <v>22</v>
      </c>
      <c r="P22" s="155" t="s">
        <v>439</v>
      </c>
      <c r="Q22" s="145" t="s">
        <v>22</v>
      </c>
      <c r="R22" s="147" t="s">
        <v>57</v>
      </c>
      <c r="S22" s="148" t="str">
        <f t="shared" si="0"/>
        <v xml:space="preserve">Phạm Đăng </v>
      </c>
      <c r="T22" s="148">
        <f t="shared" si="1"/>
        <v>58</v>
      </c>
      <c r="U22" s="148">
        <f t="shared" si="2"/>
        <v>13.711734693877549</v>
      </c>
    </row>
    <row r="23" spans="1:21" s="148" customFormat="1" ht="16.8">
      <c r="A23" s="138">
        <v>14</v>
      </c>
      <c r="B23" s="139" t="s">
        <v>399</v>
      </c>
      <c r="C23" s="140" t="s">
        <v>155</v>
      </c>
      <c r="D23" s="151">
        <v>44551</v>
      </c>
      <c r="E23" s="142" t="s">
        <v>189</v>
      </c>
      <c r="F23" s="150"/>
      <c r="G23" s="144">
        <v>17.2</v>
      </c>
      <c r="H23" s="145" t="s">
        <v>270</v>
      </c>
      <c r="I23" s="145">
        <v>110</v>
      </c>
      <c r="J23" s="146" t="s">
        <v>270</v>
      </c>
      <c r="K23" s="146" t="s">
        <v>270</v>
      </c>
      <c r="L23" s="145" t="s">
        <v>22</v>
      </c>
      <c r="M23" s="145" t="s">
        <v>22</v>
      </c>
      <c r="N23" s="145" t="s">
        <v>22</v>
      </c>
      <c r="O23" s="145" t="s">
        <v>22</v>
      </c>
      <c r="P23" s="145" t="s">
        <v>22</v>
      </c>
      <c r="Q23" s="145" t="s">
        <v>22</v>
      </c>
      <c r="R23" s="147" t="s">
        <v>23</v>
      </c>
      <c r="S23" s="148" t="str">
        <f t="shared" si="0"/>
        <v>Vũ Nguyên</v>
      </c>
      <c r="T23" s="148">
        <f t="shared" si="1"/>
        <v>56</v>
      </c>
      <c r="U23" s="148">
        <f t="shared" si="2"/>
        <v>14.214876033057848</v>
      </c>
    </row>
    <row r="24" spans="1:21" s="148" customFormat="1" ht="16.8">
      <c r="A24" s="138">
        <v>15</v>
      </c>
      <c r="B24" s="139" t="s">
        <v>400</v>
      </c>
      <c r="C24" s="140" t="s">
        <v>216</v>
      </c>
      <c r="D24" s="151">
        <v>44714</v>
      </c>
      <c r="E24" s="142"/>
      <c r="F24" s="150" t="s">
        <v>189</v>
      </c>
      <c r="G24" s="144">
        <v>20.399999999999999</v>
      </c>
      <c r="H24" s="145" t="s">
        <v>270</v>
      </c>
      <c r="I24" s="145">
        <v>107</v>
      </c>
      <c r="J24" s="146" t="s">
        <v>270</v>
      </c>
      <c r="K24" s="146" t="s">
        <v>270</v>
      </c>
      <c r="L24" s="145" t="s">
        <v>22</v>
      </c>
      <c r="M24" s="145" t="s">
        <v>22</v>
      </c>
      <c r="N24" s="145" t="s">
        <v>22</v>
      </c>
      <c r="O24" s="145" t="s">
        <v>22</v>
      </c>
      <c r="P24" s="145" t="s">
        <v>22</v>
      </c>
      <c r="Q24" s="145" t="s">
        <v>22</v>
      </c>
      <c r="R24" s="147" t="s">
        <v>23</v>
      </c>
      <c r="S24" s="148" t="str">
        <f t="shared" si="0"/>
        <v>Lê Vy</v>
      </c>
      <c r="T24" s="148">
        <f t="shared" si="1"/>
        <v>50</v>
      </c>
      <c r="U24" s="148">
        <f t="shared" si="2"/>
        <v>17.818150056773515</v>
      </c>
    </row>
    <row r="25" spans="1:21" s="148" customFormat="1" ht="16.8">
      <c r="A25" s="138">
        <v>16</v>
      </c>
      <c r="B25" s="139" t="s">
        <v>169</v>
      </c>
      <c r="C25" s="140" t="s">
        <v>179</v>
      </c>
      <c r="D25" s="151">
        <v>44481</v>
      </c>
      <c r="E25" s="142" t="s">
        <v>189</v>
      </c>
      <c r="F25" s="150"/>
      <c r="G25" s="144">
        <v>19.600000000000001</v>
      </c>
      <c r="H25" s="145" t="s">
        <v>270</v>
      </c>
      <c r="I25" s="145">
        <v>112</v>
      </c>
      <c r="J25" s="146" t="s">
        <v>270</v>
      </c>
      <c r="K25" s="146" t="s">
        <v>270</v>
      </c>
      <c r="L25" s="145" t="s">
        <v>22</v>
      </c>
      <c r="M25" s="145" t="s">
        <v>22</v>
      </c>
      <c r="N25" s="145" t="s">
        <v>22</v>
      </c>
      <c r="O25" s="145" t="s">
        <v>22</v>
      </c>
      <c r="P25" s="145" t="s">
        <v>22</v>
      </c>
      <c r="Q25" s="145" t="s">
        <v>22</v>
      </c>
      <c r="R25" s="147" t="s">
        <v>23</v>
      </c>
      <c r="S25" s="148" t="str">
        <f t="shared" si="0"/>
        <v>Nguyễn Minh</v>
      </c>
      <c r="T25" s="148">
        <f t="shared" si="1"/>
        <v>58</v>
      </c>
      <c r="U25" s="148">
        <f t="shared" si="2"/>
        <v>15.624999999999998</v>
      </c>
    </row>
    <row r="26" spans="1:21" s="148" customFormat="1" ht="16.8">
      <c r="A26" s="138">
        <v>17</v>
      </c>
      <c r="B26" s="139" t="s">
        <v>401</v>
      </c>
      <c r="C26" s="140" t="s">
        <v>252</v>
      </c>
      <c r="D26" s="151">
        <v>44304</v>
      </c>
      <c r="E26" s="142" t="s">
        <v>189</v>
      </c>
      <c r="F26" s="150"/>
      <c r="G26" s="144">
        <v>26.7</v>
      </c>
      <c r="H26" s="155" t="s">
        <v>41</v>
      </c>
      <c r="I26" s="145">
        <v>117</v>
      </c>
      <c r="J26" s="146" t="s">
        <v>270</v>
      </c>
      <c r="K26" s="146" t="s">
        <v>270</v>
      </c>
      <c r="L26" s="145" t="s">
        <v>22</v>
      </c>
      <c r="M26" s="145" t="s">
        <v>22</v>
      </c>
      <c r="N26" s="145" t="s">
        <v>22</v>
      </c>
      <c r="O26" s="145" t="s">
        <v>22</v>
      </c>
      <c r="P26" s="145" t="s">
        <v>22</v>
      </c>
      <c r="Q26" s="145" t="s">
        <v>22</v>
      </c>
      <c r="R26" s="147" t="s">
        <v>23</v>
      </c>
      <c r="S26" s="148" t="str">
        <f t="shared" si="0"/>
        <v>Nguyễn Huỳnh Duy</v>
      </c>
      <c r="T26" s="148">
        <f t="shared" si="1"/>
        <v>64</v>
      </c>
      <c r="U26" s="148">
        <f t="shared" si="2"/>
        <v>19.504711812404121</v>
      </c>
    </row>
    <row r="27" spans="1:21" s="148" customFormat="1" ht="16.8">
      <c r="A27" s="138">
        <v>18</v>
      </c>
      <c r="B27" s="139" t="s">
        <v>402</v>
      </c>
      <c r="C27" s="140" t="s">
        <v>252</v>
      </c>
      <c r="D27" s="151">
        <v>44475</v>
      </c>
      <c r="E27" s="142" t="s">
        <v>189</v>
      </c>
      <c r="F27" s="150"/>
      <c r="G27" s="144">
        <v>27.5</v>
      </c>
      <c r="H27" s="145" t="s">
        <v>270</v>
      </c>
      <c r="I27" s="145">
        <v>117</v>
      </c>
      <c r="J27" s="146" t="s">
        <v>270</v>
      </c>
      <c r="K27" s="146" t="s">
        <v>270</v>
      </c>
      <c r="L27" s="145" t="s">
        <v>22</v>
      </c>
      <c r="M27" s="145" t="s">
        <v>22</v>
      </c>
      <c r="N27" s="145" t="s">
        <v>22</v>
      </c>
      <c r="O27" s="145" t="s">
        <v>22</v>
      </c>
      <c r="P27" s="145" t="s">
        <v>22</v>
      </c>
      <c r="Q27" s="145" t="s">
        <v>22</v>
      </c>
      <c r="R27" s="147" t="s">
        <v>23</v>
      </c>
      <c r="S27" s="148" t="str">
        <f t="shared" si="0"/>
        <v>Nguyễn Tùng</v>
      </c>
      <c r="T27" s="148">
        <f t="shared" si="1"/>
        <v>58</v>
      </c>
      <c r="U27" s="148">
        <f t="shared" si="2"/>
        <v>20.089122653225221</v>
      </c>
    </row>
    <row r="28" spans="1:21" s="148" customFormat="1" ht="16.8">
      <c r="A28" s="138">
        <v>19</v>
      </c>
      <c r="B28" s="139" t="s">
        <v>168</v>
      </c>
      <c r="C28" s="140" t="s">
        <v>181</v>
      </c>
      <c r="D28" s="151">
        <v>44515</v>
      </c>
      <c r="E28" s="142" t="s">
        <v>189</v>
      </c>
      <c r="F28" s="150"/>
      <c r="G28" s="144">
        <v>17.2</v>
      </c>
      <c r="H28" s="145" t="s">
        <v>270</v>
      </c>
      <c r="I28" s="145">
        <v>106</v>
      </c>
      <c r="J28" s="146" t="s">
        <v>270</v>
      </c>
      <c r="K28" s="146" t="s">
        <v>270</v>
      </c>
      <c r="L28" s="145" t="s">
        <v>22</v>
      </c>
      <c r="M28" s="145" t="s">
        <v>22</v>
      </c>
      <c r="N28" s="145" t="s">
        <v>22</v>
      </c>
      <c r="O28" s="145" t="s">
        <v>22</v>
      </c>
      <c r="P28" s="145" t="s">
        <v>22</v>
      </c>
      <c r="Q28" s="145" t="s">
        <v>22</v>
      </c>
      <c r="R28" s="147" t="s">
        <v>23</v>
      </c>
      <c r="S28" s="148" t="str">
        <f t="shared" si="0"/>
        <v>Nguyễn Bảo</v>
      </c>
      <c r="T28" s="148">
        <f t="shared" si="1"/>
        <v>57</v>
      </c>
      <c r="U28" s="148">
        <f t="shared" si="2"/>
        <v>15.307938768244924</v>
      </c>
    </row>
    <row r="29" spans="1:21" s="148" customFormat="1" ht="16.8">
      <c r="A29" s="138">
        <v>20</v>
      </c>
      <c r="B29" s="139" t="s">
        <v>403</v>
      </c>
      <c r="C29" s="140" t="s">
        <v>161</v>
      </c>
      <c r="D29" s="151">
        <v>44228</v>
      </c>
      <c r="E29" s="142" t="s">
        <v>189</v>
      </c>
      <c r="F29" s="150"/>
      <c r="G29" s="144">
        <v>20.6</v>
      </c>
      <c r="H29" s="145" t="s">
        <v>270</v>
      </c>
      <c r="I29" s="145">
        <v>111</v>
      </c>
      <c r="J29" s="146" t="s">
        <v>270</v>
      </c>
      <c r="K29" s="146" t="s">
        <v>270</v>
      </c>
      <c r="L29" s="145" t="s">
        <v>22</v>
      </c>
      <c r="M29" s="145" t="s">
        <v>22</v>
      </c>
      <c r="N29" s="155" t="s">
        <v>55</v>
      </c>
      <c r="O29" s="145" t="s">
        <v>22</v>
      </c>
      <c r="P29" s="145" t="s">
        <v>22</v>
      </c>
      <c r="Q29" s="145" t="s">
        <v>22</v>
      </c>
      <c r="R29" s="147" t="s">
        <v>57</v>
      </c>
      <c r="S29" s="148" t="str">
        <f t="shared" si="0"/>
        <v>Hà Gia</v>
      </c>
      <c r="T29" s="148">
        <f t="shared" si="1"/>
        <v>66</v>
      </c>
      <c r="U29" s="148">
        <f t="shared" si="2"/>
        <v>16.719422124827528</v>
      </c>
    </row>
    <row r="30" spans="1:21" s="148" customFormat="1" ht="16.8">
      <c r="A30" s="138">
        <v>21</v>
      </c>
      <c r="B30" s="139" t="s">
        <v>404</v>
      </c>
      <c r="C30" s="140" t="s">
        <v>326</v>
      </c>
      <c r="D30" s="151">
        <v>44519</v>
      </c>
      <c r="E30" s="142" t="s">
        <v>189</v>
      </c>
      <c r="F30" s="150"/>
      <c r="G30" s="144">
        <v>24.7</v>
      </c>
      <c r="H30" s="145" t="s">
        <v>270</v>
      </c>
      <c r="I30" s="145">
        <v>114</v>
      </c>
      <c r="J30" s="146" t="s">
        <v>270</v>
      </c>
      <c r="K30" s="146" t="s">
        <v>270</v>
      </c>
      <c r="L30" s="145" t="s">
        <v>22</v>
      </c>
      <c r="M30" s="145" t="s">
        <v>22</v>
      </c>
      <c r="N30" s="145" t="s">
        <v>22</v>
      </c>
      <c r="O30" s="145" t="s">
        <v>22</v>
      </c>
      <c r="P30" s="145" t="s">
        <v>22</v>
      </c>
      <c r="Q30" s="145" t="s">
        <v>22</v>
      </c>
      <c r="R30" s="147" t="s">
        <v>23</v>
      </c>
      <c r="S30" s="148" t="str">
        <f t="shared" si="0"/>
        <v>Trương Minh</v>
      </c>
      <c r="T30" s="148">
        <f t="shared" si="1"/>
        <v>57</v>
      </c>
      <c r="U30" s="148">
        <f t="shared" si="2"/>
        <v>19.005847953216374</v>
      </c>
    </row>
    <row r="31" spans="1:21" s="148" customFormat="1" ht="16.8">
      <c r="A31" s="138">
        <v>22</v>
      </c>
      <c r="B31" s="139" t="s">
        <v>405</v>
      </c>
      <c r="C31" s="140" t="s">
        <v>406</v>
      </c>
      <c r="D31" s="151">
        <v>44168</v>
      </c>
      <c r="E31" s="142" t="s">
        <v>189</v>
      </c>
      <c r="F31" s="150"/>
      <c r="G31" s="144">
        <v>18</v>
      </c>
      <c r="H31" s="145" t="s">
        <v>270</v>
      </c>
      <c r="I31" s="145">
        <v>110</v>
      </c>
      <c r="J31" s="146" t="s">
        <v>270</v>
      </c>
      <c r="K31" s="146" t="s">
        <v>270</v>
      </c>
      <c r="L31" s="145" t="s">
        <v>22</v>
      </c>
      <c r="M31" s="145" t="s">
        <v>22</v>
      </c>
      <c r="N31" s="145" t="s">
        <v>22</v>
      </c>
      <c r="O31" s="145" t="s">
        <v>22</v>
      </c>
      <c r="P31" s="145" t="s">
        <v>22</v>
      </c>
      <c r="Q31" s="145" t="s">
        <v>22</v>
      </c>
      <c r="R31" s="147" t="s">
        <v>23</v>
      </c>
      <c r="S31" s="148" t="str">
        <f t="shared" si="0"/>
        <v>Lê Nguyễn Minh</v>
      </c>
      <c r="T31" s="148">
        <f t="shared" si="1"/>
        <v>68</v>
      </c>
      <c r="U31" s="148">
        <f t="shared" si="2"/>
        <v>14.876033057851238</v>
      </c>
    </row>
    <row r="32" spans="1:21" s="148" customFormat="1" ht="16.8">
      <c r="A32" s="138">
        <v>23</v>
      </c>
      <c r="B32" s="139" t="s">
        <v>407</v>
      </c>
      <c r="C32" s="140" t="s">
        <v>408</v>
      </c>
      <c r="D32" s="151">
        <v>44551</v>
      </c>
      <c r="E32" s="142" t="s">
        <v>189</v>
      </c>
      <c r="F32" s="150"/>
      <c r="G32" s="144">
        <v>16.2</v>
      </c>
      <c r="H32" s="145" t="s">
        <v>270</v>
      </c>
      <c r="I32" s="145">
        <v>105</v>
      </c>
      <c r="J32" s="146" t="s">
        <v>270</v>
      </c>
      <c r="K32" s="146" t="s">
        <v>270</v>
      </c>
      <c r="L32" s="145" t="s">
        <v>22</v>
      </c>
      <c r="M32" s="145" t="s">
        <v>22</v>
      </c>
      <c r="N32" s="145" t="s">
        <v>22</v>
      </c>
      <c r="O32" s="145" t="s">
        <v>22</v>
      </c>
      <c r="P32" s="145" t="s">
        <v>22</v>
      </c>
      <c r="Q32" s="145" t="s">
        <v>22</v>
      </c>
      <c r="R32" s="147" t="s">
        <v>23</v>
      </c>
      <c r="S32" s="148" t="str">
        <f t="shared" si="0"/>
        <v>Đặng Tuấn</v>
      </c>
      <c r="T32" s="148">
        <f t="shared" si="1"/>
        <v>56</v>
      </c>
      <c r="U32" s="148">
        <f t="shared" si="2"/>
        <v>14.693877551020407</v>
      </c>
    </row>
    <row r="33" spans="1:21" s="148" customFormat="1" ht="16.8">
      <c r="A33" s="138">
        <v>24</v>
      </c>
      <c r="B33" s="139" t="s">
        <v>409</v>
      </c>
      <c r="C33" s="140" t="s">
        <v>408</v>
      </c>
      <c r="D33" s="151">
        <v>44515</v>
      </c>
      <c r="E33" s="142" t="s">
        <v>189</v>
      </c>
      <c r="F33" s="150"/>
      <c r="G33" s="144">
        <v>16.3</v>
      </c>
      <c r="H33" s="145" t="s">
        <v>270</v>
      </c>
      <c r="I33" s="145">
        <v>101</v>
      </c>
      <c r="J33" s="156" t="s">
        <v>27</v>
      </c>
      <c r="K33" s="146" t="s">
        <v>270</v>
      </c>
      <c r="L33" s="145" t="s">
        <v>22</v>
      </c>
      <c r="M33" s="145" t="s">
        <v>22</v>
      </c>
      <c r="N33" s="145" t="s">
        <v>22</v>
      </c>
      <c r="O33" s="145" t="s">
        <v>22</v>
      </c>
      <c r="P33" s="145" t="s">
        <v>22</v>
      </c>
      <c r="Q33" s="145" t="s">
        <v>22</v>
      </c>
      <c r="R33" s="147" t="s">
        <v>57</v>
      </c>
      <c r="S33" s="148" t="str">
        <f t="shared" si="0"/>
        <v>Nguyễn Anh</v>
      </c>
      <c r="T33" s="148">
        <f t="shared" si="1"/>
        <v>57</v>
      </c>
      <c r="U33" s="148">
        <f t="shared" si="2"/>
        <v>15.978825605332812</v>
      </c>
    </row>
    <row r="34" spans="1:21" ht="16.8">
      <c r="A34" s="68"/>
      <c r="B34" s="74"/>
      <c r="C34" s="69"/>
      <c r="D34" s="75"/>
      <c r="E34" s="70"/>
      <c r="F34" s="70"/>
      <c r="G34" s="70"/>
      <c r="H34" s="71"/>
      <c r="I34" s="70"/>
      <c r="J34" s="94"/>
      <c r="K34" s="94"/>
      <c r="L34" s="71"/>
      <c r="M34" s="76"/>
      <c r="N34" s="71"/>
      <c r="O34" s="71"/>
      <c r="P34" s="71"/>
      <c r="Q34" s="71"/>
      <c r="R34" s="73"/>
    </row>
    <row r="35" spans="1:21" s="3" customFormat="1">
      <c r="A35" s="93"/>
      <c r="C35" s="13"/>
      <c r="D35" s="13" t="s">
        <v>24</v>
      </c>
      <c r="E35" s="13"/>
      <c r="F35" s="13"/>
      <c r="G35" s="14"/>
      <c r="H35" s="14"/>
      <c r="I35" s="14"/>
      <c r="J35" s="14"/>
      <c r="K35" s="14"/>
      <c r="L35" s="15"/>
      <c r="M35" s="15"/>
      <c r="N35" s="15"/>
      <c r="O35" s="15"/>
      <c r="P35" s="15"/>
      <c r="Q35" s="15"/>
      <c r="R35" s="14"/>
    </row>
    <row r="36" spans="1:21" s="3" customFormat="1">
      <c r="B36" s="15"/>
      <c r="C36" s="15"/>
      <c r="D36" s="15"/>
      <c r="E36" s="15"/>
      <c r="F36" s="15"/>
      <c r="G36" s="14"/>
      <c r="H36" s="14"/>
      <c r="I36" s="14"/>
      <c r="J36" s="14"/>
      <c r="K36" s="14"/>
      <c r="L36" s="15"/>
      <c r="M36" s="15"/>
      <c r="N36" s="15"/>
      <c r="O36" s="15"/>
      <c r="P36" s="15"/>
      <c r="Q36" s="15"/>
      <c r="R36" s="14"/>
    </row>
    <row r="37" spans="1:21" s="3" customFormat="1">
      <c r="A37" s="16" t="s">
        <v>25</v>
      </c>
      <c r="C37" s="15" t="s">
        <v>26</v>
      </c>
      <c r="D37" s="15"/>
      <c r="E37" s="15"/>
      <c r="F37" s="15"/>
      <c r="G37" s="14"/>
      <c r="H37" s="14"/>
      <c r="I37" s="16" t="s">
        <v>27</v>
      </c>
      <c r="J37" s="15"/>
      <c r="K37" s="15"/>
      <c r="L37" s="15" t="s">
        <v>28</v>
      </c>
      <c r="M37" s="15"/>
      <c r="N37" s="15"/>
      <c r="O37" s="15"/>
      <c r="P37" s="15"/>
      <c r="Q37" s="15"/>
      <c r="R37" s="14"/>
    </row>
    <row r="38" spans="1:21" s="3" customFormat="1">
      <c r="A38" s="16" t="s">
        <v>29</v>
      </c>
      <c r="C38" s="15" t="s">
        <v>30</v>
      </c>
      <c r="D38" s="15"/>
      <c r="E38" s="15"/>
      <c r="F38" s="15"/>
      <c r="G38" s="14"/>
      <c r="H38" s="14"/>
      <c r="I38" s="16" t="s">
        <v>31</v>
      </c>
      <c r="J38" s="15"/>
      <c r="K38" s="15"/>
      <c r="L38" s="15" t="s">
        <v>32</v>
      </c>
      <c r="M38" s="15"/>
      <c r="N38" s="15"/>
      <c r="O38" s="15"/>
      <c r="P38" s="15"/>
      <c r="Q38" s="15"/>
      <c r="R38" s="14"/>
    </row>
    <row r="39" spans="1:21" s="3" customFormat="1">
      <c r="A39" s="16" t="s">
        <v>33</v>
      </c>
      <c r="C39" s="15" t="s">
        <v>34</v>
      </c>
      <c r="D39" s="15"/>
      <c r="E39" s="15"/>
      <c r="F39" s="15"/>
      <c r="G39" s="14"/>
      <c r="H39" s="14"/>
      <c r="I39" s="16" t="s">
        <v>35</v>
      </c>
      <c r="J39" s="15"/>
      <c r="K39" s="15"/>
      <c r="L39" s="15" t="s">
        <v>36</v>
      </c>
      <c r="M39" s="15"/>
      <c r="N39" s="15"/>
      <c r="O39" s="15"/>
      <c r="P39" s="15"/>
      <c r="Q39" s="15"/>
      <c r="R39" s="14"/>
    </row>
    <row r="40" spans="1:21" s="3" customFormat="1">
      <c r="A40" s="16" t="s">
        <v>37</v>
      </c>
      <c r="C40" s="15" t="s">
        <v>38</v>
      </c>
      <c r="D40" s="15"/>
      <c r="E40" s="15"/>
      <c r="F40" s="15"/>
      <c r="G40" s="14"/>
      <c r="H40" s="14"/>
      <c r="I40" s="16" t="s">
        <v>39</v>
      </c>
      <c r="J40" s="15"/>
      <c r="K40" s="15"/>
      <c r="L40" s="15" t="s">
        <v>40</v>
      </c>
      <c r="M40" s="15"/>
      <c r="N40" s="15"/>
      <c r="O40" s="15"/>
      <c r="P40" s="15"/>
      <c r="Q40" s="15"/>
      <c r="R40" s="14"/>
    </row>
    <row r="41" spans="1:21">
      <c r="A41" s="16" t="s">
        <v>41</v>
      </c>
      <c r="C41" s="15" t="s">
        <v>42</v>
      </c>
      <c r="D41" s="15"/>
      <c r="E41" s="15"/>
      <c r="F41" s="15"/>
      <c r="G41" s="14"/>
      <c r="H41" s="14"/>
      <c r="I41" s="16" t="s">
        <v>43</v>
      </c>
      <c r="J41" s="15"/>
      <c r="K41" s="15"/>
      <c r="L41" s="15" t="s">
        <v>44</v>
      </c>
      <c r="M41" s="15"/>
      <c r="N41" s="15"/>
      <c r="O41" s="15"/>
      <c r="P41" s="15"/>
      <c r="Q41" s="15"/>
      <c r="R41" s="14"/>
    </row>
    <row r="42" spans="1:21">
      <c r="A42" s="4" t="s">
        <v>45</v>
      </c>
      <c r="C42" s="3" t="s">
        <v>46</v>
      </c>
      <c r="I42" s="5" t="s">
        <v>47</v>
      </c>
      <c r="L42" s="4" t="s">
        <v>48</v>
      </c>
    </row>
    <row r="43" spans="1:21">
      <c r="A43" s="4" t="s">
        <v>49</v>
      </c>
      <c r="C43" s="3" t="s">
        <v>50</v>
      </c>
      <c r="I43" s="5" t="s">
        <v>51</v>
      </c>
      <c r="L43" s="4" t="s">
        <v>52</v>
      </c>
    </row>
    <row r="44" spans="1:21">
      <c r="A44" s="4" t="s">
        <v>53</v>
      </c>
      <c r="C44" s="3" t="s">
        <v>54</v>
      </c>
      <c r="I44" s="5" t="s">
        <v>55</v>
      </c>
      <c r="L44" s="4" t="s">
        <v>56</v>
      </c>
    </row>
  </sheetData>
  <autoFilter ref="A9:WWA33"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C4DA-5030-4DD8-A7B2-B82CA8A77E5B}">
  <sheetPr>
    <tabColor rgb="FF92D050"/>
  </sheetPr>
  <dimension ref="A1:AK46"/>
  <sheetViews>
    <sheetView tabSelected="1" zoomScale="62" zoomScaleNormal="62" zoomScaleSheetLayoutView="100" workbookViewId="0">
      <pane ySplit="9" topLeftCell="A10" activePane="bottomLeft" state="frozen"/>
      <selection activeCell="T34" sqref="T34"/>
      <selection pane="bottomLeft" activeCell="G38" sqref="G38"/>
    </sheetView>
  </sheetViews>
  <sheetFormatPr defaultColWidth="9.109375" defaultRowHeight="15.6"/>
  <cols>
    <col min="1" max="1" width="4.88671875" style="4" customWidth="1"/>
    <col min="2" max="2" width="21" style="3" customWidth="1"/>
    <col min="3" max="3" width="8.44140625" style="3" customWidth="1"/>
    <col min="4" max="4" width="14.6640625" style="3" customWidth="1"/>
    <col min="5" max="6" width="6.5546875" style="3" customWidth="1"/>
    <col min="7" max="7" width="6.5546875" style="5" customWidth="1"/>
    <col min="8" max="8" width="10" style="5" customWidth="1"/>
    <col min="9" max="9" width="6.44140625" style="5" customWidth="1"/>
    <col min="10" max="10" width="12.44140625" style="5" customWidth="1"/>
    <col min="11" max="11" width="11.88671875" style="5" customWidth="1"/>
    <col min="12" max="12" width="8.33203125" style="4" customWidth="1"/>
    <col min="13" max="13" width="8.44140625" style="4" customWidth="1"/>
    <col min="14" max="14" width="6" style="4" customWidth="1"/>
    <col min="15" max="15" width="6.5546875" style="4" customWidth="1"/>
    <col min="16" max="16" width="9.88671875" style="4" customWidth="1"/>
    <col min="17" max="17" width="7.5546875" style="4" customWidth="1"/>
    <col min="18" max="18" width="7.44140625" style="5" customWidth="1"/>
    <col min="19" max="22" width="9.109375" style="4"/>
    <col min="23" max="23" width="10.33203125" style="4" bestFit="1" customWidth="1"/>
    <col min="24" max="257" width="9.109375" style="4"/>
    <col min="258" max="258" width="4.88671875" style="4" customWidth="1"/>
    <col min="259" max="259" width="21.44140625" style="4" customWidth="1"/>
    <col min="260" max="260" width="8.109375" style="4" customWidth="1"/>
    <col min="261" max="261" width="11.88671875" style="4" customWidth="1"/>
    <col min="262" max="264" width="6.5546875" style="4" customWidth="1"/>
    <col min="265" max="265" width="10" style="4" customWidth="1"/>
    <col min="266" max="266" width="6.44140625" style="4" customWidth="1"/>
    <col min="267" max="268" width="10" style="4" customWidth="1"/>
    <col min="269" max="269" width="6.44140625" style="4" customWidth="1"/>
    <col min="270" max="270" width="6.6640625" style="4" customWidth="1"/>
    <col min="271" max="271" width="6" style="4" customWidth="1"/>
    <col min="272" max="272" width="7.33203125" style="4" customWidth="1"/>
    <col min="273" max="273" width="6.6640625" style="4" customWidth="1"/>
    <col min="274" max="274" width="7.5546875" style="4" customWidth="1"/>
    <col min="275" max="275" width="7.44140625" style="4" customWidth="1"/>
    <col min="276" max="513" width="9.109375" style="4"/>
    <col min="514" max="514" width="4.88671875" style="4" customWidth="1"/>
    <col min="515" max="515" width="21.44140625" style="4" customWidth="1"/>
    <col min="516" max="516" width="8.109375" style="4" customWidth="1"/>
    <col min="517" max="517" width="11.88671875" style="4" customWidth="1"/>
    <col min="518" max="520" width="6.5546875" style="4" customWidth="1"/>
    <col min="521" max="521" width="10" style="4" customWidth="1"/>
    <col min="522" max="522" width="6.44140625" style="4" customWidth="1"/>
    <col min="523" max="524" width="10" style="4" customWidth="1"/>
    <col min="525" max="525" width="6.44140625" style="4" customWidth="1"/>
    <col min="526" max="526" width="6.6640625" style="4" customWidth="1"/>
    <col min="527" max="527" width="6" style="4" customWidth="1"/>
    <col min="528" max="528" width="7.33203125" style="4" customWidth="1"/>
    <col min="529" max="529" width="6.6640625" style="4" customWidth="1"/>
    <col min="530" max="530" width="7.5546875" style="4" customWidth="1"/>
    <col min="531" max="531" width="7.44140625" style="4" customWidth="1"/>
    <col min="532" max="769" width="9.109375" style="4"/>
    <col min="770" max="770" width="4.88671875" style="4" customWidth="1"/>
    <col min="771" max="771" width="21.44140625" style="4" customWidth="1"/>
    <col min="772" max="772" width="8.109375" style="4" customWidth="1"/>
    <col min="773" max="773" width="11.88671875" style="4" customWidth="1"/>
    <col min="774" max="776" width="6.5546875" style="4" customWidth="1"/>
    <col min="777" max="777" width="10" style="4" customWidth="1"/>
    <col min="778" max="778" width="6.44140625" style="4" customWidth="1"/>
    <col min="779" max="780" width="10" style="4" customWidth="1"/>
    <col min="781" max="781" width="6.44140625" style="4" customWidth="1"/>
    <col min="782" max="782" width="6.6640625" style="4" customWidth="1"/>
    <col min="783" max="783" width="6" style="4" customWidth="1"/>
    <col min="784" max="784" width="7.33203125" style="4" customWidth="1"/>
    <col min="785" max="785" width="6.6640625" style="4" customWidth="1"/>
    <col min="786" max="786" width="7.5546875" style="4" customWidth="1"/>
    <col min="787" max="787" width="7.44140625" style="4" customWidth="1"/>
    <col min="788" max="1025" width="9.109375" style="4"/>
    <col min="1026" max="1026" width="4.88671875" style="4" customWidth="1"/>
    <col min="1027" max="1027" width="21.44140625" style="4" customWidth="1"/>
    <col min="1028" max="1028" width="8.109375" style="4" customWidth="1"/>
    <col min="1029" max="1029" width="11.88671875" style="4" customWidth="1"/>
    <col min="1030" max="1032" width="6.5546875" style="4" customWidth="1"/>
    <col min="1033" max="1033" width="10" style="4" customWidth="1"/>
    <col min="1034" max="1034" width="6.44140625" style="4" customWidth="1"/>
    <col min="1035" max="1036" width="10" style="4" customWidth="1"/>
    <col min="1037" max="1037" width="6.44140625" style="4" customWidth="1"/>
    <col min="1038" max="1038" width="6.6640625" style="4" customWidth="1"/>
    <col min="1039" max="1039" width="6" style="4" customWidth="1"/>
    <col min="1040" max="1040" width="7.33203125" style="4" customWidth="1"/>
    <col min="1041" max="1041" width="6.6640625" style="4" customWidth="1"/>
    <col min="1042" max="1042" width="7.5546875" style="4" customWidth="1"/>
    <col min="1043" max="1043" width="7.44140625" style="4" customWidth="1"/>
    <col min="1044" max="1281" width="9.109375" style="4"/>
    <col min="1282" max="1282" width="4.88671875" style="4" customWidth="1"/>
    <col min="1283" max="1283" width="21.44140625" style="4" customWidth="1"/>
    <col min="1284" max="1284" width="8.109375" style="4" customWidth="1"/>
    <col min="1285" max="1285" width="11.88671875" style="4" customWidth="1"/>
    <col min="1286" max="1288" width="6.5546875" style="4" customWidth="1"/>
    <col min="1289" max="1289" width="10" style="4" customWidth="1"/>
    <col min="1290" max="1290" width="6.44140625" style="4" customWidth="1"/>
    <col min="1291" max="1292" width="10" style="4" customWidth="1"/>
    <col min="1293" max="1293" width="6.44140625" style="4" customWidth="1"/>
    <col min="1294" max="1294" width="6.6640625" style="4" customWidth="1"/>
    <col min="1295" max="1295" width="6" style="4" customWidth="1"/>
    <col min="1296" max="1296" width="7.33203125" style="4" customWidth="1"/>
    <col min="1297" max="1297" width="6.6640625" style="4" customWidth="1"/>
    <col min="1298" max="1298" width="7.5546875" style="4" customWidth="1"/>
    <col min="1299" max="1299" width="7.44140625" style="4" customWidth="1"/>
    <col min="1300" max="1537" width="9.109375" style="4"/>
    <col min="1538" max="1538" width="4.88671875" style="4" customWidth="1"/>
    <col min="1539" max="1539" width="21.44140625" style="4" customWidth="1"/>
    <col min="1540" max="1540" width="8.109375" style="4" customWidth="1"/>
    <col min="1541" max="1541" width="11.88671875" style="4" customWidth="1"/>
    <col min="1542" max="1544" width="6.5546875" style="4" customWidth="1"/>
    <col min="1545" max="1545" width="10" style="4" customWidth="1"/>
    <col min="1546" max="1546" width="6.44140625" style="4" customWidth="1"/>
    <col min="1547" max="1548" width="10" style="4" customWidth="1"/>
    <col min="1549" max="1549" width="6.44140625" style="4" customWidth="1"/>
    <col min="1550" max="1550" width="6.6640625" style="4" customWidth="1"/>
    <col min="1551" max="1551" width="6" style="4" customWidth="1"/>
    <col min="1552" max="1552" width="7.33203125" style="4" customWidth="1"/>
    <col min="1553" max="1553" width="6.6640625" style="4" customWidth="1"/>
    <col min="1554" max="1554" width="7.5546875" style="4" customWidth="1"/>
    <col min="1555" max="1555" width="7.44140625" style="4" customWidth="1"/>
    <col min="1556" max="1793" width="9.109375" style="4"/>
    <col min="1794" max="1794" width="4.88671875" style="4" customWidth="1"/>
    <col min="1795" max="1795" width="21.44140625" style="4" customWidth="1"/>
    <col min="1796" max="1796" width="8.109375" style="4" customWidth="1"/>
    <col min="1797" max="1797" width="11.88671875" style="4" customWidth="1"/>
    <col min="1798" max="1800" width="6.5546875" style="4" customWidth="1"/>
    <col min="1801" max="1801" width="10" style="4" customWidth="1"/>
    <col min="1802" max="1802" width="6.44140625" style="4" customWidth="1"/>
    <col min="1803" max="1804" width="10" style="4" customWidth="1"/>
    <col min="1805" max="1805" width="6.44140625" style="4" customWidth="1"/>
    <col min="1806" max="1806" width="6.6640625" style="4" customWidth="1"/>
    <col min="1807" max="1807" width="6" style="4" customWidth="1"/>
    <col min="1808" max="1808" width="7.33203125" style="4" customWidth="1"/>
    <col min="1809" max="1809" width="6.6640625" style="4" customWidth="1"/>
    <col min="1810" max="1810" width="7.5546875" style="4" customWidth="1"/>
    <col min="1811" max="1811" width="7.44140625" style="4" customWidth="1"/>
    <col min="1812" max="2049" width="9.109375" style="4"/>
    <col min="2050" max="2050" width="4.88671875" style="4" customWidth="1"/>
    <col min="2051" max="2051" width="21.44140625" style="4" customWidth="1"/>
    <col min="2052" max="2052" width="8.109375" style="4" customWidth="1"/>
    <col min="2053" max="2053" width="11.88671875" style="4" customWidth="1"/>
    <col min="2054" max="2056" width="6.5546875" style="4" customWidth="1"/>
    <col min="2057" max="2057" width="10" style="4" customWidth="1"/>
    <col min="2058" max="2058" width="6.44140625" style="4" customWidth="1"/>
    <col min="2059" max="2060" width="10" style="4" customWidth="1"/>
    <col min="2061" max="2061" width="6.44140625" style="4" customWidth="1"/>
    <col min="2062" max="2062" width="6.6640625" style="4" customWidth="1"/>
    <col min="2063" max="2063" width="6" style="4" customWidth="1"/>
    <col min="2064" max="2064" width="7.33203125" style="4" customWidth="1"/>
    <col min="2065" max="2065" width="6.6640625" style="4" customWidth="1"/>
    <col min="2066" max="2066" width="7.5546875" style="4" customWidth="1"/>
    <col min="2067" max="2067" width="7.44140625" style="4" customWidth="1"/>
    <col min="2068" max="2305" width="9.109375" style="4"/>
    <col min="2306" max="2306" width="4.88671875" style="4" customWidth="1"/>
    <col min="2307" max="2307" width="21.44140625" style="4" customWidth="1"/>
    <col min="2308" max="2308" width="8.109375" style="4" customWidth="1"/>
    <col min="2309" max="2309" width="11.88671875" style="4" customWidth="1"/>
    <col min="2310" max="2312" width="6.5546875" style="4" customWidth="1"/>
    <col min="2313" max="2313" width="10" style="4" customWidth="1"/>
    <col min="2314" max="2314" width="6.44140625" style="4" customWidth="1"/>
    <col min="2315" max="2316" width="10" style="4" customWidth="1"/>
    <col min="2317" max="2317" width="6.44140625" style="4" customWidth="1"/>
    <col min="2318" max="2318" width="6.6640625" style="4" customWidth="1"/>
    <col min="2319" max="2319" width="6" style="4" customWidth="1"/>
    <col min="2320" max="2320" width="7.33203125" style="4" customWidth="1"/>
    <col min="2321" max="2321" width="6.6640625" style="4" customWidth="1"/>
    <col min="2322" max="2322" width="7.5546875" style="4" customWidth="1"/>
    <col min="2323" max="2323" width="7.44140625" style="4" customWidth="1"/>
    <col min="2324" max="2561" width="9.109375" style="4"/>
    <col min="2562" max="2562" width="4.88671875" style="4" customWidth="1"/>
    <col min="2563" max="2563" width="21.44140625" style="4" customWidth="1"/>
    <col min="2564" max="2564" width="8.109375" style="4" customWidth="1"/>
    <col min="2565" max="2565" width="11.88671875" style="4" customWidth="1"/>
    <col min="2566" max="2568" width="6.5546875" style="4" customWidth="1"/>
    <col min="2569" max="2569" width="10" style="4" customWidth="1"/>
    <col min="2570" max="2570" width="6.44140625" style="4" customWidth="1"/>
    <col min="2571" max="2572" width="10" style="4" customWidth="1"/>
    <col min="2573" max="2573" width="6.44140625" style="4" customWidth="1"/>
    <col min="2574" max="2574" width="6.6640625" style="4" customWidth="1"/>
    <col min="2575" max="2575" width="6" style="4" customWidth="1"/>
    <col min="2576" max="2576" width="7.33203125" style="4" customWidth="1"/>
    <col min="2577" max="2577" width="6.6640625" style="4" customWidth="1"/>
    <col min="2578" max="2578" width="7.5546875" style="4" customWidth="1"/>
    <col min="2579" max="2579" width="7.44140625" style="4" customWidth="1"/>
    <col min="2580" max="2817" width="9.109375" style="4"/>
    <col min="2818" max="2818" width="4.88671875" style="4" customWidth="1"/>
    <col min="2819" max="2819" width="21.44140625" style="4" customWidth="1"/>
    <col min="2820" max="2820" width="8.109375" style="4" customWidth="1"/>
    <col min="2821" max="2821" width="11.88671875" style="4" customWidth="1"/>
    <col min="2822" max="2824" width="6.5546875" style="4" customWidth="1"/>
    <col min="2825" max="2825" width="10" style="4" customWidth="1"/>
    <col min="2826" max="2826" width="6.44140625" style="4" customWidth="1"/>
    <col min="2827" max="2828" width="10" style="4" customWidth="1"/>
    <col min="2829" max="2829" width="6.44140625" style="4" customWidth="1"/>
    <col min="2830" max="2830" width="6.6640625" style="4" customWidth="1"/>
    <col min="2831" max="2831" width="6" style="4" customWidth="1"/>
    <col min="2832" max="2832" width="7.33203125" style="4" customWidth="1"/>
    <col min="2833" max="2833" width="6.6640625" style="4" customWidth="1"/>
    <col min="2834" max="2834" width="7.5546875" style="4" customWidth="1"/>
    <col min="2835" max="2835" width="7.44140625" style="4" customWidth="1"/>
    <col min="2836" max="3073" width="9.109375" style="4"/>
    <col min="3074" max="3074" width="4.88671875" style="4" customWidth="1"/>
    <col min="3075" max="3075" width="21.44140625" style="4" customWidth="1"/>
    <col min="3076" max="3076" width="8.109375" style="4" customWidth="1"/>
    <col min="3077" max="3077" width="11.88671875" style="4" customWidth="1"/>
    <col min="3078" max="3080" width="6.5546875" style="4" customWidth="1"/>
    <col min="3081" max="3081" width="10" style="4" customWidth="1"/>
    <col min="3082" max="3082" width="6.44140625" style="4" customWidth="1"/>
    <col min="3083" max="3084" width="10" style="4" customWidth="1"/>
    <col min="3085" max="3085" width="6.44140625" style="4" customWidth="1"/>
    <col min="3086" max="3086" width="6.6640625" style="4" customWidth="1"/>
    <col min="3087" max="3087" width="6" style="4" customWidth="1"/>
    <col min="3088" max="3088" width="7.33203125" style="4" customWidth="1"/>
    <col min="3089" max="3089" width="6.6640625" style="4" customWidth="1"/>
    <col min="3090" max="3090" width="7.5546875" style="4" customWidth="1"/>
    <col min="3091" max="3091" width="7.44140625" style="4" customWidth="1"/>
    <col min="3092" max="3329" width="9.109375" style="4"/>
    <col min="3330" max="3330" width="4.88671875" style="4" customWidth="1"/>
    <col min="3331" max="3331" width="21.44140625" style="4" customWidth="1"/>
    <col min="3332" max="3332" width="8.109375" style="4" customWidth="1"/>
    <col min="3333" max="3333" width="11.88671875" style="4" customWidth="1"/>
    <col min="3334" max="3336" width="6.5546875" style="4" customWidth="1"/>
    <col min="3337" max="3337" width="10" style="4" customWidth="1"/>
    <col min="3338" max="3338" width="6.44140625" style="4" customWidth="1"/>
    <col min="3339" max="3340" width="10" style="4" customWidth="1"/>
    <col min="3341" max="3341" width="6.44140625" style="4" customWidth="1"/>
    <col min="3342" max="3342" width="6.6640625" style="4" customWidth="1"/>
    <col min="3343" max="3343" width="6" style="4" customWidth="1"/>
    <col min="3344" max="3344" width="7.33203125" style="4" customWidth="1"/>
    <col min="3345" max="3345" width="6.6640625" style="4" customWidth="1"/>
    <col min="3346" max="3346" width="7.5546875" style="4" customWidth="1"/>
    <col min="3347" max="3347" width="7.44140625" style="4" customWidth="1"/>
    <col min="3348" max="3585" width="9.109375" style="4"/>
    <col min="3586" max="3586" width="4.88671875" style="4" customWidth="1"/>
    <col min="3587" max="3587" width="21.44140625" style="4" customWidth="1"/>
    <col min="3588" max="3588" width="8.109375" style="4" customWidth="1"/>
    <col min="3589" max="3589" width="11.88671875" style="4" customWidth="1"/>
    <col min="3590" max="3592" width="6.5546875" style="4" customWidth="1"/>
    <col min="3593" max="3593" width="10" style="4" customWidth="1"/>
    <col min="3594" max="3594" width="6.44140625" style="4" customWidth="1"/>
    <col min="3595" max="3596" width="10" style="4" customWidth="1"/>
    <col min="3597" max="3597" width="6.44140625" style="4" customWidth="1"/>
    <col min="3598" max="3598" width="6.6640625" style="4" customWidth="1"/>
    <col min="3599" max="3599" width="6" style="4" customWidth="1"/>
    <col min="3600" max="3600" width="7.33203125" style="4" customWidth="1"/>
    <col min="3601" max="3601" width="6.6640625" style="4" customWidth="1"/>
    <col min="3602" max="3602" width="7.5546875" style="4" customWidth="1"/>
    <col min="3603" max="3603" width="7.44140625" style="4" customWidth="1"/>
    <col min="3604" max="3841" width="9.109375" style="4"/>
    <col min="3842" max="3842" width="4.88671875" style="4" customWidth="1"/>
    <col min="3843" max="3843" width="21.44140625" style="4" customWidth="1"/>
    <col min="3844" max="3844" width="8.109375" style="4" customWidth="1"/>
    <col min="3845" max="3845" width="11.88671875" style="4" customWidth="1"/>
    <col min="3846" max="3848" width="6.5546875" style="4" customWidth="1"/>
    <col min="3849" max="3849" width="10" style="4" customWidth="1"/>
    <col min="3850" max="3850" width="6.44140625" style="4" customWidth="1"/>
    <col min="3851" max="3852" width="10" style="4" customWidth="1"/>
    <col min="3853" max="3853" width="6.44140625" style="4" customWidth="1"/>
    <col min="3854" max="3854" width="6.6640625" style="4" customWidth="1"/>
    <col min="3855" max="3855" width="6" style="4" customWidth="1"/>
    <col min="3856" max="3856" width="7.33203125" style="4" customWidth="1"/>
    <col min="3857" max="3857" width="6.6640625" style="4" customWidth="1"/>
    <col min="3858" max="3858" width="7.5546875" style="4" customWidth="1"/>
    <col min="3859" max="3859" width="7.44140625" style="4" customWidth="1"/>
    <col min="3860" max="4097" width="9.109375" style="4"/>
    <col min="4098" max="4098" width="4.88671875" style="4" customWidth="1"/>
    <col min="4099" max="4099" width="21.44140625" style="4" customWidth="1"/>
    <col min="4100" max="4100" width="8.109375" style="4" customWidth="1"/>
    <col min="4101" max="4101" width="11.88671875" style="4" customWidth="1"/>
    <col min="4102" max="4104" width="6.5546875" style="4" customWidth="1"/>
    <col min="4105" max="4105" width="10" style="4" customWidth="1"/>
    <col min="4106" max="4106" width="6.44140625" style="4" customWidth="1"/>
    <col min="4107" max="4108" width="10" style="4" customWidth="1"/>
    <col min="4109" max="4109" width="6.44140625" style="4" customWidth="1"/>
    <col min="4110" max="4110" width="6.6640625" style="4" customWidth="1"/>
    <col min="4111" max="4111" width="6" style="4" customWidth="1"/>
    <col min="4112" max="4112" width="7.33203125" style="4" customWidth="1"/>
    <col min="4113" max="4113" width="6.6640625" style="4" customWidth="1"/>
    <col min="4114" max="4114" width="7.5546875" style="4" customWidth="1"/>
    <col min="4115" max="4115" width="7.44140625" style="4" customWidth="1"/>
    <col min="4116" max="4353" width="9.109375" style="4"/>
    <col min="4354" max="4354" width="4.88671875" style="4" customWidth="1"/>
    <col min="4355" max="4355" width="21.44140625" style="4" customWidth="1"/>
    <col min="4356" max="4356" width="8.109375" style="4" customWidth="1"/>
    <col min="4357" max="4357" width="11.88671875" style="4" customWidth="1"/>
    <col min="4358" max="4360" width="6.5546875" style="4" customWidth="1"/>
    <col min="4361" max="4361" width="10" style="4" customWidth="1"/>
    <col min="4362" max="4362" width="6.44140625" style="4" customWidth="1"/>
    <col min="4363" max="4364" width="10" style="4" customWidth="1"/>
    <col min="4365" max="4365" width="6.44140625" style="4" customWidth="1"/>
    <col min="4366" max="4366" width="6.6640625" style="4" customWidth="1"/>
    <col min="4367" max="4367" width="6" style="4" customWidth="1"/>
    <col min="4368" max="4368" width="7.33203125" style="4" customWidth="1"/>
    <col min="4369" max="4369" width="6.6640625" style="4" customWidth="1"/>
    <col min="4370" max="4370" width="7.5546875" style="4" customWidth="1"/>
    <col min="4371" max="4371" width="7.44140625" style="4" customWidth="1"/>
    <col min="4372" max="4609" width="9.109375" style="4"/>
    <col min="4610" max="4610" width="4.88671875" style="4" customWidth="1"/>
    <col min="4611" max="4611" width="21.44140625" style="4" customWidth="1"/>
    <col min="4612" max="4612" width="8.109375" style="4" customWidth="1"/>
    <col min="4613" max="4613" width="11.88671875" style="4" customWidth="1"/>
    <col min="4614" max="4616" width="6.5546875" style="4" customWidth="1"/>
    <col min="4617" max="4617" width="10" style="4" customWidth="1"/>
    <col min="4618" max="4618" width="6.44140625" style="4" customWidth="1"/>
    <col min="4619" max="4620" width="10" style="4" customWidth="1"/>
    <col min="4621" max="4621" width="6.44140625" style="4" customWidth="1"/>
    <col min="4622" max="4622" width="6.6640625" style="4" customWidth="1"/>
    <col min="4623" max="4623" width="6" style="4" customWidth="1"/>
    <col min="4624" max="4624" width="7.33203125" style="4" customWidth="1"/>
    <col min="4625" max="4625" width="6.6640625" style="4" customWidth="1"/>
    <col min="4626" max="4626" width="7.5546875" style="4" customWidth="1"/>
    <col min="4627" max="4627" width="7.44140625" style="4" customWidth="1"/>
    <col min="4628" max="4865" width="9.109375" style="4"/>
    <col min="4866" max="4866" width="4.88671875" style="4" customWidth="1"/>
    <col min="4867" max="4867" width="21.44140625" style="4" customWidth="1"/>
    <col min="4868" max="4868" width="8.109375" style="4" customWidth="1"/>
    <col min="4869" max="4869" width="11.88671875" style="4" customWidth="1"/>
    <col min="4870" max="4872" width="6.5546875" style="4" customWidth="1"/>
    <col min="4873" max="4873" width="10" style="4" customWidth="1"/>
    <col min="4874" max="4874" width="6.44140625" style="4" customWidth="1"/>
    <col min="4875" max="4876" width="10" style="4" customWidth="1"/>
    <col min="4877" max="4877" width="6.44140625" style="4" customWidth="1"/>
    <col min="4878" max="4878" width="6.6640625" style="4" customWidth="1"/>
    <col min="4879" max="4879" width="6" style="4" customWidth="1"/>
    <col min="4880" max="4880" width="7.33203125" style="4" customWidth="1"/>
    <col min="4881" max="4881" width="6.6640625" style="4" customWidth="1"/>
    <col min="4882" max="4882" width="7.5546875" style="4" customWidth="1"/>
    <col min="4883" max="4883" width="7.44140625" style="4" customWidth="1"/>
    <col min="4884" max="5121" width="9.109375" style="4"/>
    <col min="5122" max="5122" width="4.88671875" style="4" customWidth="1"/>
    <col min="5123" max="5123" width="21.44140625" style="4" customWidth="1"/>
    <col min="5124" max="5124" width="8.109375" style="4" customWidth="1"/>
    <col min="5125" max="5125" width="11.88671875" style="4" customWidth="1"/>
    <col min="5126" max="5128" width="6.5546875" style="4" customWidth="1"/>
    <col min="5129" max="5129" width="10" style="4" customWidth="1"/>
    <col min="5130" max="5130" width="6.44140625" style="4" customWidth="1"/>
    <col min="5131" max="5132" width="10" style="4" customWidth="1"/>
    <col min="5133" max="5133" width="6.44140625" style="4" customWidth="1"/>
    <col min="5134" max="5134" width="6.6640625" style="4" customWidth="1"/>
    <col min="5135" max="5135" width="6" style="4" customWidth="1"/>
    <col min="5136" max="5136" width="7.33203125" style="4" customWidth="1"/>
    <col min="5137" max="5137" width="6.6640625" style="4" customWidth="1"/>
    <col min="5138" max="5138" width="7.5546875" style="4" customWidth="1"/>
    <col min="5139" max="5139" width="7.44140625" style="4" customWidth="1"/>
    <col min="5140" max="5377" width="9.109375" style="4"/>
    <col min="5378" max="5378" width="4.88671875" style="4" customWidth="1"/>
    <col min="5379" max="5379" width="21.44140625" style="4" customWidth="1"/>
    <col min="5380" max="5380" width="8.109375" style="4" customWidth="1"/>
    <col min="5381" max="5381" width="11.88671875" style="4" customWidth="1"/>
    <col min="5382" max="5384" width="6.5546875" style="4" customWidth="1"/>
    <col min="5385" max="5385" width="10" style="4" customWidth="1"/>
    <col min="5386" max="5386" width="6.44140625" style="4" customWidth="1"/>
    <col min="5387" max="5388" width="10" style="4" customWidth="1"/>
    <col min="5389" max="5389" width="6.44140625" style="4" customWidth="1"/>
    <col min="5390" max="5390" width="6.6640625" style="4" customWidth="1"/>
    <col min="5391" max="5391" width="6" style="4" customWidth="1"/>
    <col min="5392" max="5392" width="7.33203125" style="4" customWidth="1"/>
    <col min="5393" max="5393" width="6.6640625" style="4" customWidth="1"/>
    <col min="5394" max="5394" width="7.5546875" style="4" customWidth="1"/>
    <col min="5395" max="5395" width="7.44140625" style="4" customWidth="1"/>
    <col min="5396" max="5633" width="9.109375" style="4"/>
    <col min="5634" max="5634" width="4.88671875" style="4" customWidth="1"/>
    <col min="5635" max="5635" width="21.44140625" style="4" customWidth="1"/>
    <col min="5636" max="5636" width="8.109375" style="4" customWidth="1"/>
    <col min="5637" max="5637" width="11.88671875" style="4" customWidth="1"/>
    <col min="5638" max="5640" width="6.5546875" style="4" customWidth="1"/>
    <col min="5641" max="5641" width="10" style="4" customWidth="1"/>
    <col min="5642" max="5642" width="6.44140625" style="4" customWidth="1"/>
    <col min="5643" max="5644" width="10" style="4" customWidth="1"/>
    <col min="5645" max="5645" width="6.44140625" style="4" customWidth="1"/>
    <col min="5646" max="5646" width="6.6640625" style="4" customWidth="1"/>
    <col min="5647" max="5647" width="6" style="4" customWidth="1"/>
    <col min="5648" max="5648" width="7.33203125" style="4" customWidth="1"/>
    <col min="5649" max="5649" width="6.6640625" style="4" customWidth="1"/>
    <col min="5650" max="5650" width="7.5546875" style="4" customWidth="1"/>
    <col min="5651" max="5651" width="7.44140625" style="4" customWidth="1"/>
    <col min="5652" max="5889" width="9.109375" style="4"/>
    <col min="5890" max="5890" width="4.88671875" style="4" customWidth="1"/>
    <col min="5891" max="5891" width="21.44140625" style="4" customWidth="1"/>
    <col min="5892" max="5892" width="8.109375" style="4" customWidth="1"/>
    <col min="5893" max="5893" width="11.88671875" style="4" customWidth="1"/>
    <col min="5894" max="5896" width="6.5546875" style="4" customWidth="1"/>
    <col min="5897" max="5897" width="10" style="4" customWidth="1"/>
    <col min="5898" max="5898" width="6.44140625" style="4" customWidth="1"/>
    <col min="5899" max="5900" width="10" style="4" customWidth="1"/>
    <col min="5901" max="5901" width="6.44140625" style="4" customWidth="1"/>
    <col min="5902" max="5902" width="6.6640625" style="4" customWidth="1"/>
    <col min="5903" max="5903" width="6" style="4" customWidth="1"/>
    <col min="5904" max="5904" width="7.33203125" style="4" customWidth="1"/>
    <col min="5905" max="5905" width="6.6640625" style="4" customWidth="1"/>
    <col min="5906" max="5906" width="7.5546875" style="4" customWidth="1"/>
    <col min="5907" max="5907" width="7.44140625" style="4" customWidth="1"/>
    <col min="5908" max="6145" width="9.109375" style="4"/>
    <col min="6146" max="6146" width="4.88671875" style="4" customWidth="1"/>
    <col min="6147" max="6147" width="21.44140625" style="4" customWidth="1"/>
    <col min="6148" max="6148" width="8.109375" style="4" customWidth="1"/>
    <col min="6149" max="6149" width="11.88671875" style="4" customWidth="1"/>
    <col min="6150" max="6152" width="6.5546875" style="4" customWidth="1"/>
    <col min="6153" max="6153" width="10" style="4" customWidth="1"/>
    <col min="6154" max="6154" width="6.44140625" style="4" customWidth="1"/>
    <col min="6155" max="6156" width="10" style="4" customWidth="1"/>
    <col min="6157" max="6157" width="6.44140625" style="4" customWidth="1"/>
    <col min="6158" max="6158" width="6.6640625" style="4" customWidth="1"/>
    <col min="6159" max="6159" width="6" style="4" customWidth="1"/>
    <col min="6160" max="6160" width="7.33203125" style="4" customWidth="1"/>
    <col min="6161" max="6161" width="6.6640625" style="4" customWidth="1"/>
    <col min="6162" max="6162" width="7.5546875" style="4" customWidth="1"/>
    <col min="6163" max="6163" width="7.44140625" style="4" customWidth="1"/>
    <col min="6164" max="6401" width="9.109375" style="4"/>
    <col min="6402" max="6402" width="4.88671875" style="4" customWidth="1"/>
    <col min="6403" max="6403" width="21.44140625" style="4" customWidth="1"/>
    <col min="6404" max="6404" width="8.109375" style="4" customWidth="1"/>
    <col min="6405" max="6405" width="11.88671875" style="4" customWidth="1"/>
    <col min="6406" max="6408" width="6.5546875" style="4" customWidth="1"/>
    <col min="6409" max="6409" width="10" style="4" customWidth="1"/>
    <col min="6410" max="6410" width="6.44140625" style="4" customWidth="1"/>
    <col min="6411" max="6412" width="10" style="4" customWidth="1"/>
    <col min="6413" max="6413" width="6.44140625" style="4" customWidth="1"/>
    <col min="6414" max="6414" width="6.6640625" style="4" customWidth="1"/>
    <col min="6415" max="6415" width="6" style="4" customWidth="1"/>
    <col min="6416" max="6416" width="7.33203125" style="4" customWidth="1"/>
    <col min="6417" max="6417" width="6.6640625" style="4" customWidth="1"/>
    <col min="6418" max="6418" width="7.5546875" style="4" customWidth="1"/>
    <col min="6419" max="6419" width="7.44140625" style="4" customWidth="1"/>
    <col min="6420" max="6657" width="9.109375" style="4"/>
    <col min="6658" max="6658" width="4.88671875" style="4" customWidth="1"/>
    <col min="6659" max="6659" width="21.44140625" style="4" customWidth="1"/>
    <col min="6660" max="6660" width="8.109375" style="4" customWidth="1"/>
    <col min="6661" max="6661" width="11.88671875" style="4" customWidth="1"/>
    <col min="6662" max="6664" width="6.5546875" style="4" customWidth="1"/>
    <col min="6665" max="6665" width="10" style="4" customWidth="1"/>
    <col min="6666" max="6666" width="6.44140625" style="4" customWidth="1"/>
    <col min="6667" max="6668" width="10" style="4" customWidth="1"/>
    <col min="6669" max="6669" width="6.44140625" style="4" customWidth="1"/>
    <col min="6670" max="6670" width="6.6640625" style="4" customWidth="1"/>
    <col min="6671" max="6671" width="6" style="4" customWidth="1"/>
    <col min="6672" max="6672" width="7.33203125" style="4" customWidth="1"/>
    <col min="6673" max="6673" width="6.6640625" style="4" customWidth="1"/>
    <col min="6674" max="6674" width="7.5546875" style="4" customWidth="1"/>
    <col min="6675" max="6675" width="7.44140625" style="4" customWidth="1"/>
    <col min="6676" max="6913" width="9.109375" style="4"/>
    <col min="6914" max="6914" width="4.88671875" style="4" customWidth="1"/>
    <col min="6915" max="6915" width="21.44140625" style="4" customWidth="1"/>
    <col min="6916" max="6916" width="8.109375" style="4" customWidth="1"/>
    <col min="6917" max="6917" width="11.88671875" style="4" customWidth="1"/>
    <col min="6918" max="6920" width="6.5546875" style="4" customWidth="1"/>
    <col min="6921" max="6921" width="10" style="4" customWidth="1"/>
    <col min="6922" max="6922" width="6.44140625" style="4" customWidth="1"/>
    <col min="6923" max="6924" width="10" style="4" customWidth="1"/>
    <col min="6925" max="6925" width="6.44140625" style="4" customWidth="1"/>
    <col min="6926" max="6926" width="6.6640625" style="4" customWidth="1"/>
    <col min="6927" max="6927" width="6" style="4" customWidth="1"/>
    <col min="6928" max="6928" width="7.33203125" style="4" customWidth="1"/>
    <col min="6929" max="6929" width="6.6640625" style="4" customWidth="1"/>
    <col min="6930" max="6930" width="7.5546875" style="4" customWidth="1"/>
    <col min="6931" max="6931" width="7.44140625" style="4" customWidth="1"/>
    <col min="6932" max="7169" width="9.109375" style="4"/>
    <col min="7170" max="7170" width="4.88671875" style="4" customWidth="1"/>
    <col min="7171" max="7171" width="21.44140625" style="4" customWidth="1"/>
    <col min="7172" max="7172" width="8.109375" style="4" customWidth="1"/>
    <col min="7173" max="7173" width="11.88671875" style="4" customWidth="1"/>
    <col min="7174" max="7176" width="6.5546875" style="4" customWidth="1"/>
    <col min="7177" max="7177" width="10" style="4" customWidth="1"/>
    <col min="7178" max="7178" width="6.44140625" style="4" customWidth="1"/>
    <col min="7179" max="7180" width="10" style="4" customWidth="1"/>
    <col min="7181" max="7181" width="6.44140625" style="4" customWidth="1"/>
    <col min="7182" max="7182" width="6.6640625" style="4" customWidth="1"/>
    <col min="7183" max="7183" width="6" style="4" customWidth="1"/>
    <col min="7184" max="7184" width="7.33203125" style="4" customWidth="1"/>
    <col min="7185" max="7185" width="6.6640625" style="4" customWidth="1"/>
    <col min="7186" max="7186" width="7.5546875" style="4" customWidth="1"/>
    <col min="7187" max="7187" width="7.44140625" style="4" customWidth="1"/>
    <col min="7188" max="7425" width="9.109375" style="4"/>
    <col min="7426" max="7426" width="4.88671875" style="4" customWidth="1"/>
    <col min="7427" max="7427" width="21.44140625" style="4" customWidth="1"/>
    <col min="7428" max="7428" width="8.109375" style="4" customWidth="1"/>
    <col min="7429" max="7429" width="11.88671875" style="4" customWidth="1"/>
    <col min="7430" max="7432" width="6.5546875" style="4" customWidth="1"/>
    <col min="7433" max="7433" width="10" style="4" customWidth="1"/>
    <col min="7434" max="7434" width="6.44140625" style="4" customWidth="1"/>
    <col min="7435" max="7436" width="10" style="4" customWidth="1"/>
    <col min="7437" max="7437" width="6.44140625" style="4" customWidth="1"/>
    <col min="7438" max="7438" width="6.6640625" style="4" customWidth="1"/>
    <col min="7439" max="7439" width="6" style="4" customWidth="1"/>
    <col min="7440" max="7440" width="7.33203125" style="4" customWidth="1"/>
    <col min="7441" max="7441" width="6.6640625" style="4" customWidth="1"/>
    <col min="7442" max="7442" width="7.5546875" style="4" customWidth="1"/>
    <col min="7443" max="7443" width="7.44140625" style="4" customWidth="1"/>
    <col min="7444" max="7681" width="9.109375" style="4"/>
    <col min="7682" max="7682" width="4.88671875" style="4" customWidth="1"/>
    <col min="7683" max="7683" width="21.44140625" style="4" customWidth="1"/>
    <col min="7684" max="7684" width="8.109375" style="4" customWidth="1"/>
    <col min="7685" max="7685" width="11.88671875" style="4" customWidth="1"/>
    <col min="7686" max="7688" width="6.5546875" style="4" customWidth="1"/>
    <col min="7689" max="7689" width="10" style="4" customWidth="1"/>
    <col min="7690" max="7690" width="6.44140625" style="4" customWidth="1"/>
    <col min="7691" max="7692" width="10" style="4" customWidth="1"/>
    <col min="7693" max="7693" width="6.44140625" style="4" customWidth="1"/>
    <col min="7694" max="7694" width="6.6640625" style="4" customWidth="1"/>
    <col min="7695" max="7695" width="6" style="4" customWidth="1"/>
    <col min="7696" max="7696" width="7.33203125" style="4" customWidth="1"/>
    <col min="7697" max="7697" width="6.6640625" style="4" customWidth="1"/>
    <col min="7698" max="7698" width="7.5546875" style="4" customWidth="1"/>
    <col min="7699" max="7699" width="7.44140625" style="4" customWidth="1"/>
    <col min="7700" max="7937" width="9.109375" style="4"/>
    <col min="7938" max="7938" width="4.88671875" style="4" customWidth="1"/>
    <col min="7939" max="7939" width="21.44140625" style="4" customWidth="1"/>
    <col min="7940" max="7940" width="8.109375" style="4" customWidth="1"/>
    <col min="7941" max="7941" width="11.88671875" style="4" customWidth="1"/>
    <col min="7942" max="7944" width="6.5546875" style="4" customWidth="1"/>
    <col min="7945" max="7945" width="10" style="4" customWidth="1"/>
    <col min="7946" max="7946" width="6.44140625" style="4" customWidth="1"/>
    <col min="7947" max="7948" width="10" style="4" customWidth="1"/>
    <col min="7949" max="7949" width="6.44140625" style="4" customWidth="1"/>
    <col min="7950" max="7950" width="6.6640625" style="4" customWidth="1"/>
    <col min="7951" max="7951" width="6" style="4" customWidth="1"/>
    <col min="7952" max="7952" width="7.33203125" style="4" customWidth="1"/>
    <col min="7953" max="7953" width="6.6640625" style="4" customWidth="1"/>
    <col min="7954" max="7954" width="7.5546875" style="4" customWidth="1"/>
    <col min="7955" max="7955" width="7.44140625" style="4" customWidth="1"/>
    <col min="7956" max="8193" width="9.109375" style="4"/>
    <col min="8194" max="8194" width="4.88671875" style="4" customWidth="1"/>
    <col min="8195" max="8195" width="21.44140625" style="4" customWidth="1"/>
    <col min="8196" max="8196" width="8.109375" style="4" customWidth="1"/>
    <col min="8197" max="8197" width="11.88671875" style="4" customWidth="1"/>
    <col min="8198" max="8200" width="6.5546875" style="4" customWidth="1"/>
    <col min="8201" max="8201" width="10" style="4" customWidth="1"/>
    <col min="8202" max="8202" width="6.44140625" style="4" customWidth="1"/>
    <col min="8203" max="8204" width="10" style="4" customWidth="1"/>
    <col min="8205" max="8205" width="6.44140625" style="4" customWidth="1"/>
    <col min="8206" max="8206" width="6.6640625" style="4" customWidth="1"/>
    <col min="8207" max="8207" width="6" style="4" customWidth="1"/>
    <col min="8208" max="8208" width="7.33203125" style="4" customWidth="1"/>
    <col min="8209" max="8209" width="6.6640625" style="4" customWidth="1"/>
    <col min="8210" max="8210" width="7.5546875" style="4" customWidth="1"/>
    <col min="8211" max="8211" width="7.44140625" style="4" customWidth="1"/>
    <col min="8212" max="8449" width="9.109375" style="4"/>
    <col min="8450" max="8450" width="4.88671875" style="4" customWidth="1"/>
    <col min="8451" max="8451" width="21.44140625" style="4" customWidth="1"/>
    <col min="8452" max="8452" width="8.109375" style="4" customWidth="1"/>
    <col min="8453" max="8453" width="11.88671875" style="4" customWidth="1"/>
    <col min="8454" max="8456" width="6.5546875" style="4" customWidth="1"/>
    <col min="8457" max="8457" width="10" style="4" customWidth="1"/>
    <col min="8458" max="8458" width="6.44140625" style="4" customWidth="1"/>
    <col min="8459" max="8460" width="10" style="4" customWidth="1"/>
    <col min="8461" max="8461" width="6.44140625" style="4" customWidth="1"/>
    <col min="8462" max="8462" width="6.6640625" style="4" customWidth="1"/>
    <col min="8463" max="8463" width="6" style="4" customWidth="1"/>
    <col min="8464" max="8464" width="7.33203125" style="4" customWidth="1"/>
    <col min="8465" max="8465" width="6.6640625" style="4" customWidth="1"/>
    <col min="8466" max="8466" width="7.5546875" style="4" customWidth="1"/>
    <col min="8467" max="8467" width="7.44140625" style="4" customWidth="1"/>
    <col min="8468" max="8705" width="9.109375" style="4"/>
    <col min="8706" max="8706" width="4.88671875" style="4" customWidth="1"/>
    <col min="8707" max="8707" width="21.44140625" style="4" customWidth="1"/>
    <col min="8708" max="8708" width="8.109375" style="4" customWidth="1"/>
    <col min="8709" max="8709" width="11.88671875" style="4" customWidth="1"/>
    <col min="8710" max="8712" width="6.5546875" style="4" customWidth="1"/>
    <col min="8713" max="8713" width="10" style="4" customWidth="1"/>
    <col min="8714" max="8714" width="6.44140625" style="4" customWidth="1"/>
    <col min="8715" max="8716" width="10" style="4" customWidth="1"/>
    <col min="8717" max="8717" width="6.44140625" style="4" customWidth="1"/>
    <col min="8718" max="8718" width="6.6640625" style="4" customWidth="1"/>
    <col min="8719" max="8719" width="6" style="4" customWidth="1"/>
    <col min="8720" max="8720" width="7.33203125" style="4" customWidth="1"/>
    <col min="8721" max="8721" width="6.6640625" style="4" customWidth="1"/>
    <col min="8722" max="8722" width="7.5546875" style="4" customWidth="1"/>
    <col min="8723" max="8723" width="7.44140625" style="4" customWidth="1"/>
    <col min="8724" max="8961" width="9.109375" style="4"/>
    <col min="8962" max="8962" width="4.88671875" style="4" customWidth="1"/>
    <col min="8963" max="8963" width="21.44140625" style="4" customWidth="1"/>
    <col min="8964" max="8964" width="8.109375" style="4" customWidth="1"/>
    <col min="8965" max="8965" width="11.88671875" style="4" customWidth="1"/>
    <col min="8966" max="8968" width="6.5546875" style="4" customWidth="1"/>
    <col min="8969" max="8969" width="10" style="4" customWidth="1"/>
    <col min="8970" max="8970" width="6.44140625" style="4" customWidth="1"/>
    <col min="8971" max="8972" width="10" style="4" customWidth="1"/>
    <col min="8973" max="8973" width="6.44140625" style="4" customWidth="1"/>
    <col min="8974" max="8974" width="6.6640625" style="4" customWidth="1"/>
    <col min="8975" max="8975" width="6" style="4" customWidth="1"/>
    <col min="8976" max="8976" width="7.33203125" style="4" customWidth="1"/>
    <col min="8977" max="8977" width="6.6640625" style="4" customWidth="1"/>
    <col min="8978" max="8978" width="7.5546875" style="4" customWidth="1"/>
    <col min="8979" max="8979" width="7.44140625" style="4" customWidth="1"/>
    <col min="8980" max="9217" width="9.109375" style="4"/>
    <col min="9218" max="9218" width="4.88671875" style="4" customWidth="1"/>
    <col min="9219" max="9219" width="21.44140625" style="4" customWidth="1"/>
    <col min="9220" max="9220" width="8.109375" style="4" customWidth="1"/>
    <col min="9221" max="9221" width="11.88671875" style="4" customWidth="1"/>
    <col min="9222" max="9224" width="6.5546875" style="4" customWidth="1"/>
    <col min="9225" max="9225" width="10" style="4" customWidth="1"/>
    <col min="9226" max="9226" width="6.44140625" style="4" customWidth="1"/>
    <col min="9227" max="9228" width="10" style="4" customWidth="1"/>
    <col min="9229" max="9229" width="6.44140625" style="4" customWidth="1"/>
    <col min="9230" max="9230" width="6.6640625" style="4" customWidth="1"/>
    <col min="9231" max="9231" width="6" style="4" customWidth="1"/>
    <col min="9232" max="9232" width="7.33203125" style="4" customWidth="1"/>
    <col min="9233" max="9233" width="6.6640625" style="4" customWidth="1"/>
    <col min="9234" max="9234" width="7.5546875" style="4" customWidth="1"/>
    <col min="9235" max="9235" width="7.44140625" style="4" customWidth="1"/>
    <col min="9236" max="9473" width="9.109375" style="4"/>
    <col min="9474" max="9474" width="4.88671875" style="4" customWidth="1"/>
    <col min="9475" max="9475" width="21.44140625" style="4" customWidth="1"/>
    <col min="9476" max="9476" width="8.109375" style="4" customWidth="1"/>
    <col min="9477" max="9477" width="11.88671875" style="4" customWidth="1"/>
    <col min="9478" max="9480" width="6.5546875" style="4" customWidth="1"/>
    <col min="9481" max="9481" width="10" style="4" customWidth="1"/>
    <col min="9482" max="9482" width="6.44140625" style="4" customWidth="1"/>
    <col min="9483" max="9484" width="10" style="4" customWidth="1"/>
    <col min="9485" max="9485" width="6.44140625" style="4" customWidth="1"/>
    <col min="9486" max="9486" width="6.6640625" style="4" customWidth="1"/>
    <col min="9487" max="9487" width="6" style="4" customWidth="1"/>
    <col min="9488" max="9488" width="7.33203125" style="4" customWidth="1"/>
    <col min="9489" max="9489" width="6.6640625" style="4" customWidth="1"/>
    <col min="9490" max="9490" width="7.5546875" style="4" customWidth="1"/>
    <col min="9491" max="9491" width="7.44140625" style="4" customWidth="1"/>
    <col min="9492" max="9729" width="9.109375" style="4"/>
    <col min="9730" max="9730" width="4.88671875" style="4" customWidth="1"/>
    <col min="9731" max="9731" width="21.44140625" style="4" customWidth="1"/>
    <col min="9732" max="9732" width="8.109375" style="4" customWidth="1"/>
    <col min="9733" max="9733" width="11.88671875" style="4" customWidth="1"/>
    <col min="9734" max="9736" width="6.5546875" style="4" customWidth="1"/>
    <col min="9737" max="9737" width="10" style="4" customWidth="1"/>
    <col min="9738" max="9738" width="6.44140625" style="4" customWidth="1"/>
    <col min="9739" max="9740" width="10" style="4" customWidth="1"/>
    <col min="9741" max="9741" width="6.44140625" style="4" customWidth="1"/>
    <col min="9742" max="9742" width="6.6640625" style="4" customWidth="1"/>
    <col min="9743" max="9743" width="6" style="4" customWidth="1"/>
    <col min="9744" max="9744" width="7.33203125" style="4" customWidth="1"/>
    <col min="9745" max="9745" width="6.6640625" style="4" customWidth="1"/>
    <col min="9746" max="9746" width="7.5546875" style="4" customWidth="1"/>
    <col min="9747" max="9747" width="7.44140625" style="4" customWidth="1"/>
    <col min="9748" max="9985" width="9.109375" style="4"/>
    <col min="9986" max="9986" width="4.88671875" style="4" customWidth="1"/>
    <col min="9987" max="9987" width="21.44140625" style="4" customWidth="1"/>
    <col min="9988" max="9988" width="8.109375" style="4" customWidth="1"/>
    <col min="9989" max="9989" width="11.88671875" style="4" customWidth="1"/>
    <col min="9990" max="9992" width="6.5546875" style="4" customWidth="1"/>
    <col min="9993" max="9993" width="10" style="4" customWidth="1"/>
    <col min="9994" max="9994" width="6.44140625" style="4" customWidth="1"/>
    <col min="9995" max="9996" width="10" style="4" customWidth="1"/>
    <col min="9997" max="9997" width="6.44140625" style="4" customWidth="1"/>
    <col min="9998" max="9998" width="6.6640625" style="4" customWidth="1"/>
    <col min="9999" max="9999" width="6" style="4" customWidth="1"/>
    <col min="10000" max="10000" width="7.33203125" style="4" customWidth="1"/>
    <col min="10001" max="10001" width="6.6640625" style="4" customWidth="1"/>
    <col min="10002" max="10002" width="7.5546875" style="4" customWidth="1"/>
    <col min="10003" max="10003" width="7.44140625" style="4" customWidth="1"/>
    <col min="10004" max="10241" width="9.109375" style="4"/>
    <col min="10242" max="10242" width="4.88671875" style="4" customWidth="1"/>
    <col min="10243" max="10243" width="21.44140625" style="4" customWidth="1"/>
    <col min="10244" max="10244" width="8.109375" style="4" customWidth="1"/>
    <col min="10245" max="10245" width="11.88671875" style="4" customWidth="1"/>
    <col min="10246" max="10248" width="6.5546875" style="4" customWidth="1"/>
    <col min="10249" max="10249" width="10" style="4" customWidth="1"/>
    <col min="10250" max="10250" width="6.44140625" style="4" customWidth="1"/>
    <col min="10251" max="10252" width="10" style="4" customWidth="1"/>
    <col min="10253" max="10253" width="6.44140625" style="4" customWidth="1"/>
    <col min="10254" max="10254" width="6.6640625" style="4" customWidth="1"/>
    <col min="10255" max="10255" width="6" style="4" customWidth="1"/>
    <col min="10256" max="10256" width="7.33203125" style="4" customWidth="1"/>
    <col min="10257" max="10257" width="6.6640625" style="4" customWidth="1"/>
    <col min="10258" max="10258" width="7.5546875" style="4" customWidth="1"/>
    <col min="10259" max="10259" width="7.44140625" style="4" customWidth="1"/>
    <col min="10260" max="10497" width="9.109375" style="4"/>
    <col min="10498" max="10498" width="4.88671875" style="4" customWidth="1"/>
    <col min="10499" max="10499" width="21.44140625" style="4" customWidth="1"/>
    <col min="10500" max="10500" width="8.109375" style="4" customWidth="1"/>
    <col min="10501" max="10501" width="11.88671875" style="4" customWidth="1"/>
    <col min="10502" max="10504" width="6.5546875" style="4" customWidth="1"/>
    <col min="10505" max="10505" width="10" style="4" customWidth="1"/>
    <col min="10506" max="10506" width="6.44140625" style="4" customWidth="1"/>
    <col min="10507" max="10508" width="10" style="4" customWidth="1"/>
    <col min="10509" max="10509" width="6.44140625" style="4" customWidth="1"/>
    <col min="10510" max="10510" width="6.6640625" style="4" customWidth="1"/>
    <col min="10511" max="10511" width="6" style="4" customWidth="1"/>
    <col min="10512" max="10512" width="7.33203125" style="4" customWidth="1"/>
    <col min="10513" max="10513" width="6.6640625" style="4" customWidth="1"/>
    <col min="10514" max="10514" width="7.5546875" style="4" customWidth="1"/>
    <col min="10515" max="10515" width="7.44140625" style="4" customWidth="1"/>
    <col min="10516" max="10753" width="9.109375" style="4"/>
    <col min="10754" max="10754" width="4.88671875" style="4" customWidth="1"/>
    <col min="10755" max="10755" width="21.44140625" style="4" customWidth="1"/>
    <col min="10756" max="10756" width="8.109375" style="4" customWidth="1"/>
    <col min="10757" max="10757" width="11.88671875" style="4" customWidth="1"/>
    <col min="10758" max="10760" width="6.5546875" style="4" customWidth="1"/>
    <col min="10761" max="10761" width="10" style="4" customWidth="1"/>
    <col min="10762" max="10762" width="6.44140625" style="4" customWidth="1"/>
    <col min="10763" max="10764" width="10" style="4" customWidth="1"/>
    <col min="10765" max="10765" width="6.44140625" style="4" customWidth="1"/>
    <col min="10766" max="10766" width="6.6640625" style="4" customWidth="1"/>
    <col min="10767" max="10767" width="6" style="4" customWidth="1"/>
    <col min="10768" max="10768" width="7.33203125" style="4" customWidth="1"/>
    <col min="10769" max="10769" width="6.6640625" style="4" customWidth="1"/>
    <col min="10770" max="10770" width="7.5546875" style="4" customWidth="1"/>
    <col min="10771" max="10771" width="7.44140625" style="4" customWidth="1"/>
    <col min="10772" max="11009" width="9.109375" style="4"/>
    <col min="11010" max="11010" width="4.88671875" style="4" customWidth="1"/>
    <col min="11011" max="11011" width="21.44140625" style="4" customWidth="1"/>
    <col min="11012" max="11012" width="8.109375" style="4" customWidth="1"/>
    <col min="11013" max="11013" width="11.88671875" style="4" customWidth="1"/>
    <col min="11014" max="11016" width="6.5546875" style="4" customWidth="1"/>
    <col min="11017" max="11017" width="10" style="4" customWidth="1"/>
    <col min="11018" max="11018" width="6.44140625" style="4" customWidth="1"/>
    <col min="11019" max="11020" width="10" style="4" customWidth="1"/>
    <col min="11021" max="11021" width="6.44140625" style="4" customWidth="1"/>
    <col min="11022" max="11022" width="6.6640625" style="4" customWidth="1"/>
    <col min="11023" max="11023" width="6" style="4" customWidth="1"/>
    <col min="11024" max="11024" width="7.33203125" style="4" customWidth="1"/>
    <col min="11025" max="11025" width="6.6640625" style="4" customWidth="1"/>
    <col min="11026" max="11026" width="7.5546875" style="4" customWidth="1"/>
    <col min="11027" max="11027" width="7.44140625" style="4" customWidth="1"/>
    <col min="11028" max="11265" width="9.109375" style="4"/>
    <col min="11266" max="11266" width="4.88671875" style="4" customWidth="1"/>
    <col min="11267" max="11267" width="21.44140625" style="4" customWidth="1"/>
    <col min="11268" max="11268" width="8.109375" style="4" customWidth="1"/>
    <col min="11269" max="11269" width="11.88671875" style="4" customWidth="1"/>
    <col min="11270" max="11272" width="6.5546875" style="4" customWidth="1"/>
    <col min="11273" max="11273" width="10" style="4" customWidth="1"/>
    <col min="11274" max="11274" width="6.44140625" style="4" customWidth="1"/>
    <col min="11275" max="11276" width="10" style="4" customWidth="1"/>
    <col min="11277" max="11277" width="6.44140625" style="4" customWidth="1"/>
    <col min="11278" max="11278" width="6.6640625" style="4" customWidth="1"/>
    <col min="11279" max="11279" width="6" style="4" customWidth="1"/>
    <col min="11280" max="11280" width="7.33203125" style="4" customWidth="1"/>
    <col min="11281" max="11281" width="6.6640625" style="4" customWidth="1"/>
    <col min="11282" max="11282" width="7.5546875" style="4" customWidth="1"/>
    <col min="11283" max="11283" width="7.44140625" style="4" customWidth="1"/>
    <col min="11284" max="11521" width="9.109375" style="4"/>
    <col min="11522" max="11522" width="4.88671875" style="4" customWidth="1"/>
    <col min="11523" max="11523" width="21.44140625" style="4" customWidth="1"/>
    <col min="11524" max="11524" width="8.109375" style="4" customWidth="1"/>
    <col min="11525" max="11525" width="11.88671875" style="4" customWidth="1"/>
    <col min="11526" max="11528" width="6.5546875" style="4" customWidth="1"/>
    <col min="11529" max="11529" width="10" style="4" customWidth="1"/>
    <col min="11530" max="11530" width="6.44140625" style="4" customWidth="1"/>
    <col min="11531" max="11532" width="10" style="4" customWidth="1"/>
    <col min="11533" max="11533" width="6.44140625" style="4" customWidth="1"/>
    <col min="11534" max="11534" width="6.6640625" style="4" customWidth="1"/>
    <col min="11535" max="11535" width="6" style="4" customWidth="1"/>
    <col min="11536" max="11536" width="7.33203125" style="4" customWidth="1"/>
    <col min="11537" max="11537" width="6.6640625" style="4" customWidth="1"/>
    <col min="11538" max="11538" width="7.5546875" style="4" customWidth="1"/>
    <col min="11539" max="11539" width="7.44140625" style="4" customWidth="1"/>
    <col min="11540" max="11777" width="9.109375" style="4"/>
    <col min="11778" max="11778" width="4.88671875" style="4" customWidth="1"/>
    <col min="11779" max="11779" width="21.44140625" style="4" customWidth="1"/>
    <col min="11780" max="11780" width="8.109375" style="4" customWidth="1"/>
    <col min="11781" max="11781" width="11.88671875" style="4" customWidth="1"/>
    <col min="11782" max="11784" width="6.5546875" style="4" customWidth="1"/>
    <col min="11785" max="11785" width="10" style="4" customWidth="1"/>
    <col min="11786" max="11786" width="6.44140625" style="4" customWidth="1"/>
    <col min="11787" max="11788" width="10" style="4" customWidth="1"/>
    <col min="11789" max="11789" width="6.44140625" style="4" customWidth="1"/>
    <col min="11790" max="11790" width="6.6640625" style="4" customWidth="1"/>
    <col min="11791" max="11791" width="6" style="4" customWidth="1"/>
    <col min="11792" max="11792" width="7.33203125" style="4" customWidth="1"/>
    <col min="11793" max="11793" width="6.6640625" style="4" customWidth="1"/>
    <col min="11794" max="11794" width="7.5546875" style="4" customWidth="1"/>
    <col min="11795" max="11795" width="7.44140625" style="4" customWidth="1"/>
    <col min="11796" max="12033" width="9.109375" style="4"/>
    <col min="12034" max="12034" width="4.88671875" style="4" customWidth="1"/>
    <col min="12035" max="12035" width="21.44140625" style="4" customWidth="1"/>
    <col min="12036" max="12036" width="8.109375" style="4" customWidth="1"/>
    <col min="12037" max="12037" width="11.88671875" style="4" customWidth="1"/>
    <col min="12038" max="12040" width="6.5546875" style="4" customWidth="1"/>
    <col min="12041" max="12041" width="10" style="4" customWidth="1"/>
    <col min="12042" max="12042" width="6.44140625" style="4" customWidth="1"/>
    <col min="12043" max="12044" width="10" style="4" customWidth="1"/>
    <col min="12045" max="12045" width="6.44140625" style="4" customWidth="1"/>
    <col min="12046" max="12046" width="6.6640625" style="4" customWidth="1"/>
    <col min="12047" max="12047" width="6" style="4" customWidth="1"/>
    <col min="12048" max="12048" width="7.33203125" style="4" customWidth="1"/>
    <col min="12049" max="12049" width="6.6640625" style="4" customWidth="1"/>
    <col min="12050" max="12050" width="7.5546875" style="4" customWidth="1"/>
    <col min="12051" max="12051" width="7.44140625" style="4" customWidth="1"/>
    <col min="12052" max="12289" width="9.109375" style="4"/>
    <col min="12290" max="12290" width="4.88671875" style="4" customWidth="1"/>
    <col min="12291" max="12291" width="21.44140625" style="4" customWidth="1"/>
    <col min="12292" max="12292" width="8.109375" style="4" customWidth="1"/>
    <col min="12293" max="12293" width="11.88671875" style="4" customWidth="1"/>
    <col min="12294" max="12296" width="6.5546875" style="4" customWidth="1"/>
    <col min="12297" max="12297" width="10" style="4" customWidth="1"/>
    <col min="12298" max="12298" width="6.44140625" style="4" customWidth="1"/>
    <col min="12299" max="12300" width="10" style="4" customWidth="1"/>
    <col min="12301" max="12301" width="6.44140625" style="4" customWidth="1"/>
    <col min="12302" max="12302" width="6.6640625" style="4" customWidth="1"/>
    <col min="12303" max="12303" width="6" style="4" customWidth="1"/>
    <col min="12304" max="12304" width="7.33203125" style="4" customWidth="1"/>
    <col min="12305" max="12305" width="6.6640625" style="4" customWidth="1"/>
    <col min="12306" max="12306" width="7.5546875" style="4" customWidth="1"/>
    <col min="12307" max="12307" width="7.44140625" style="4" customWidth="1"/>
    <col min="12308" max="12545" width="9.109375" style="4"/>
    <col min="12546" max="12546" width="4.88671875" style="4" customWidth="1"/>
    <col min="12547" max="12547" width="21.44140625" style="4" customWidth="1"/>
    <col min="12548" max="12548" width="8.109375" style="4" customWidth="1"/>
    <col min="12549" max="12549" width="11.88671875" style="4" customWidth="1"/>
    <col min="12550" max="12552" width="6.5546875" style="4" customWidth="1"/>
    <col min="12553" max="12553" width="10" style="4" customWidth="1"/>
    <col min="12554" max="12554" width="6.44140625" style="4" customWidth="1"/>
    <col min="12555" max="12556" width="10" style="4" customWidth="1"/>
    <col min="12557" max="12557" width="6.44140625" style="4" customWidth="1"/>
    <col min="12558" max="12558" width="6.6640625" style="4" customWidth="1"/>
    <col min="12559" max="12559" width="6" style="4" customWidth="1"/>
    <col min="12560" max="12560" width="7.33203125" style="4" customWidth="1"/>
    <col min="12561" max="12561" width="6.6640625" style="4" customWidth="1"/>
    <col min="12562" max="12562" width="7.5546875" style="4" customWidth="1"/>
    <col min="12563" max="12563" width="7.44140625" style="4" customWidth="1"/>
    <col min="12564" max="12801" width="9.109375" style="4"/>
    <col min="12802" max="12802" width="4.88671875" style="4" customWidth="1"/>
    <col min="12803" max="12803" width="21.44140625" style="4" customWidth="1"/>
    <col min="12804" max="12804" width="8.109375" style="4" customWidth="1"/>
    <col min="12805" max="12805" width="11.88671875" style="4" customWidth="1"/>
    <col min="12806" max="12808" width="6.5546875" style="4" customWidth="1"/>
    <col min="12809" max="12809" width="10" style="4" customWidth="1"/>
    <col min="12810" max="12810" width="6.44140625" style="4" customWidth="1"/>
    <col min="12811" max="12812" width="10" style="4" customWidth="1"/>
    <col min="12813" max="12813" width="6.44140625" style="4" customWidth="1"/>
    <col min="12814" max="12814" width="6.6640625" style="4" customWidth="1"/>
    <col min="12815" max="12815" width="6" style="4" customWidth="1"/>
    <col min="12816" max="12816" width="7.33203125" style="4" customWidth="1"/>
    <col min="12817" max="12817" width="6.6640625" style="4" customWidth="1"/>
    <col min="12818" max="12818" width="7.5546875" style="4" customWidth="1"/>
    <col min="12819" max="12819" width="7.44140625" style="4" customWidth="1"/>
    <col min="12820" max="13057" width="9.109375" style="4"/>
    <col min="13058" max="13058" width="4.88671875" style="4" customWidth="1"/>
    <col min="13059" max="13059" width="21.44140625" style="4" customWidth="1"/>
    <col min="13060" max="13060" width="8.109375" style="4" customWidth="1"/>
    <col min="13061" max="13061" width="11.88671875" style="4" customWidth="1"/>
    <col min="13062" max="13064" width="6.5546875" style="4" customWidth="1"/>
    <col min="13065" max="13065" width="10" style="4" customWidth="1"/>
    <col min="13066" max="13066" width="6.44140625" style="4" customWidth="1"/>
    <col min="13067" max="13068" width="10" style="4" customWidth="1"/>
    <col min="13069" max="13069" width="6.44140625" style="4" customWidth="1"/>
    <col min="13070" max="13070" width="6.6640625" style="4" customWidth="1"/>
    <col min="13071" max="13071" width="6" style="4" customWidth="1"/>
    <col min="13072" max="13072" width="7.33203125" style="4" customWidth="1"/>
    <col min="13073" max="13073" width="6.6640625" style="4" customWidth="1"/>
    <col min="13074" max="13074" width="7.5546875" style="4" customWidth="1"/>
    <col min="13075" max="13075" width="7.44140625" style="4" customWidth="1"/>
    <col min="13076" max="13313" width="9.109375" style="4"/>
    <col min="13314" max="13314" width="4.88671875" style="4" customWidth="1"/>
    <col min="13315" max="13315" width="21.44140625" style="4" customWidth="1"/>
    <col min="13316" max="13316" width="8.109375" style="4" customWidth="1"/>
    <col min="13317" max="13317" width="11.88671875" style="4" customWidth="1"/>
    <col min="13318" max="13320" width="6.5546875" style="4" customWidth="1"/>
    <col min="13321" max="13321" width="10" style="4" customWidth="1"/>
    <col min="13322" max="13322" width="6.44140625" style="4" customWidth="1"/>
    <col min="13323" max="13324" width="10" style="4" customWidth="1"/>
    <col min="13325" max="13325" width="6.44140625" style="4" customWidth="1"/>
    <col min="13326" max="13326" width="6.6640625" style="4" customWidth="1"/>
    <col min="13327" max="13327" width="6" style="4" customWidth="1"/>
    <col min="13328" max="13328" width="7.33203125" style="4" customWidth="1"/>
    <col min="13329" max="13329" width="6.6640625" style="4" customWidth="1"/>
    <col min="13330" max="13330" width="7.5546875" style="4" customWidth="1"/>
    <col min="13331" max="13331" width="7.44140625" style="4" customWidth="1"/>
    <col min="13332" max="13569" width="9.109375" style="4"/>
    <col min="13570" max="13570" width="4.88671875" style="4" customWidth="1"/>
    <col min="13571" max="13571" width="21.44140625" style="4" customWidth="1"/>
    <col min="13572" max="13572" width="8.109375" style="4" customWidth="1"/>
    <col min="13573" max="13573" width="11.88671875" style="4" customWidth="1"/>
    <col min="13574" max="13576" width="6.5546875" style="4" customWidth="1"/>
    <col min="13577" max="13577" width="10" style="4" customWidth="1"/>
    <col min="13578" max="13578" width="6.44140625" style="4" customWidth="1"/>
    <col min="13579" max="13580" width="10" style="4" customWidth="1"/>
    <col min="13581" max="13581" width="6.44140625" style="4" customWidth="1"/>
    <col min="13582" max="13582" width="6.6640625" style="4" customWidth="1"/>
    <col min="13583" max="13583" width="6" style="4" customWidth="1"/>
    <col min="13584" max="13584" width="7.33203125" style="4" customWidth="1"/>
    <col min="13585" max="13585" width="6.6640625" style="4" customWidth="1"/>
    <col min="13586" max="13586" width="7.5546875" style="4" customWidth="1"/>
    <col min="13587" max="13587" width="7.44140625" style="4" customWidth="1"/>
    <col min="13588" max="13825" width="9.109375" style="4"/>
    <col min="13826" max="13826" width="4.88671875" style="4" customWidth="1"/>
    <col min="13827" max="13827" width="21.44140625" style="4" customWidth="1"/>
    <col min="13828" max="13828" width="8.109375" style="4" customWidth="1"/>
    <col min="13829" max="13829" width="11.88671875" style="4" customWidth="1"/>
    <col min="13830" max="13832" width="6.5546875" style="4" customWidth="1"/>
    <col min="13833" max="13833" width="10" style="4" customWidth="1"/>
    <col min="13834" max="13834" width="6.44140625" style="4" customWidth="1"/>
    <col min="13835" max="13836" width="10" style="4" customWidth="1"/>
    <col min="13837" max="13837" width="6.44140625" style="4" customWidth="1"/>
    <col min="13838" max="13838" width="6.6640625" style="4" customWidth="1"/>
    <col min="13839" max="13839" width="6" style="4" customWidth="1"/>
    <col min="13840" max="13840" width="7.33203125" style="4" customWidth="1"/>
    <col min="13841" max="13841" width="6.6640625" style="4" customWidth="1"/>
    <col min="13842" max="13842" width="7.5546875" style="4" customWidth="1"/>
    <col min="13843" max="13843" width="7.44140625" style="4" customWidth="1"/>
    <col min="13844" max="14081" width="9.109375" style="4"/>
    <col min="14082" max="14082" width="4.88671875" style="4" customWidth="1"/>
    <col min="14083" max="14083" width="21.44140625" style="4" customWidth="1"/>
    <col min="14084" max="14084" width="8.109375" style="4" customWidth="1"/>
    <col min="14085" max="14085" width="11.88671875" style="4" customWidth="1"/>
    <col min="14086" max="14088" width="6.5546875" style="4" customWidth="1"/>
    <col min="14089" max="14089" width="10" style="4" customWidth="1"/>
    <col min="14090" max="14090" width="6.44140625" style="4" customWidth="1"/>
    <col min="14091" max="14092" width="10" style="4" customWidth="1"/>
    <col min="14093" max="14093" width="6.44140625" style="4" customWidth="1"/>
    <col min="14094" max="14094" width="6.6640625" style="4" customWidth="1"/>
    <col min="14095" max="14095" width="6" style="4" customWidth="1"/>
    <col min="14096" max="14096" width="7.33203125" style="4" customWidth="1"/>
    <col min="14097" max="14097" width="6.6640625" style="4" customWidth="1"/>
    <col min="14098" max="14098" width="7.5546875" style="4" customWidth="1"/>
    <col min="14099" max="14099" width="7.44140625" style="4" customWidth="1"/>
    <col min="14100" max="14337" width="9.109375" style="4"/>
    <col min="14338" max="14338" width="4.88671875" style="4" customWidth="1"/>
    <col min="14339" max="14339" width="21.44140625" style="4" customWidth="1"/>
    <col min="14340" max="14340" width="8.109375" style="4" customWidth="1"/>
    <col min="14341" max="14341" width="11.88671875" style="4" customWidth="1"/>
    <col min="14342" max="14344" width="6.5546875" style="4" customWidth="1"/>
    <col min="14345" max="14345" width="10" style="4" customWidth="1"/>
    <col min="14346" max="14346" width="6.44140625" style="4" customWidth="1"/>
    <col min="14347" max="14348" width="10" style="4" customWidth="1"/>
    <col min="14349" max="14349" width="6.44140625" style="4" customWidth="1"/>
    <col min="14350" max="14350" width="6.6640625" style="4" customWidth="1"/>
    <col min="14351" max="14351" width="6" style="4" customWidth="1"/>
    <col min="14352" max="14352" width="7.33203125" style="4" customWidth="1"/>
    <col min="14353" max="14353" width="6.6640625" style="4" customWidth="1"/>
    <col min="14354" max="14354" width="7.5546875" style="4" customWidth="1"/>
    <col min="14355" max="14355" width="7.44140625" style="4" customWidth="1"/>
    <col min="14356" max="14593" width="9.109375" style="4"/>
    <col min="14594" max="14594" width="4.88671875" style="4" customWidth="1"/>
    <col min="14595" max="14595" width="21.44140625" style="4" customWidth="1"/>
    <col min="14596" max="14596" width="8.109375" style="4" customWidth="1"/>
    <col min="14597" max="14597" width="11.88671875" style="4" customWidth="1"/>
    <col min="14598" max="14600" width="6.5546875" style="4" customWidth="1"/>
    <col min="14601" max="14601" width="10" style="4" customWidth="1"/>
    <col min="14602" max="14602" width="6.44140625" style="4" customWidth="1"/>
    <col min="14603" max="14604" width="10" style="4" customWidth="1"/>
    <col min="14605" max="14605" width="6.44140625" style="4" customWidth="1"/>
    <col min="14606" max="14606" width="6.6640625" style="4" customWidth="1"/>
    <col min="14607" max="14607" width="6" style="4" customWidth="1"/>
    <col min="14608" max="14608" width="7.33203125" style="4" customWidth="1"/>
    <col min="14609" max="14609" width="6.6640625" style="4" customWidth="1"/>
    <col min="14610" max="14610" width="7.5546875" style="4" customWidth="1"/>
    <col min="14611" max="14611" width="7.44140625" style="4" customWidth="1"/>
    <col min="14612" max="14849" width="9.109375" style="4"/>
    <col min="14850" max="14850" width="4.88671875" style="4" customWidth="1"/>
    <col min="14851" max="14851" width="21.44140625" style="4" customWidth="1"/>
    <col min="14852" max="14852" width="8.109375" style="4" customWidth="1"/>
    <col min="14853" max="14853" width="11.88671875" style="4" customWidth="1"/>
    <col min="14854" max="14856" width="6.5546875" style="4" customWidth="1"/>
    <col min="14857" max="14857" width="10" style="4" customWidth="1"/>
    <col min="14858" max="14858" width="6.44140625" style="4" customWidth="1"/>
    <col min="14859" max="14860" width="10" style="4" customWidth="1"/>
    <col min="14861" max="14861" width="6.44140625" style="4" customWidth="1"/>
    <col min="14862" max="14862" width="6.6640625" style="4" customWidth="1"/>
    <col min="14863" max="14863" width="6" style="4" customWidth="1"/>
    <col min="14864" max="14864" width="7.33203125" style="4" customWidth="1"/>
    <col min="14865" max="14865" width="6.6640625" style="4" customWidth="1"/>
    <col min="14866" max="14866" width="7.5546875" style="4" customWidth="1"/>
    <col min="14867" max="14867" width="7.44140625" style="4" customWidth="1"/>
    <col min="14868" max="15105" width="9.109375" style="4"/>
    <col min="15106" max="15106" width="4.88671875" style="4" customWidth="1"/>
    <col min="15107" max="15107" width="21.44140625" style="4" customWidth="1"/>
    <col min="15108" max="15108" width="8.109375" style="4" customWidth="1"/>
    <col min="15109" max="15109" width="11.88671875" style="4" customWidth="1"/>
    <col min="15110" max="15112" width="6.5546875" style="4" customWidth="1"/>
    <col min="15113" max="15113" width="10" style="4" customWidth="1"/>
    <col min="15114" max="15114" width="6.44140625" style="4" customWidth="1"/>
    <col min="15115" max="15116" width="10" style="4" customWidth="1"/>
    <col min="15117" max="15117" width="6.44140625" style="4" customWidth="1"/>
    <col min="15118" max="15118" width="6.6640625" style="4" customWidth="1"/>
    <col min="15119" max="15119" width="6" style="4" customWidth="1"/>
    <col min="15120" max="15120" width="7.33203125" style="4" customWidth="1"/>
    <col min="15121" max="15121" width="6.6640625" style="4" customWidth="1"/>
    <col min="15122" max="15122" width="7.5546875" style="4" customWidth="1"/>
    <col min="15123" max="15123" width="7.44140625" style="4" customWidth="1"/>
    <col min="15124" max="15361" width="9.109375" style="4"/>
    <col min="15362" max="15362" width="4.88671875" style="4" customWidth="1"/>
    <col min="15363" max="15363" width="21.44140625" style="4" customWidth="1"/>
    <col min="15364" max="15364" width="8.109375" style="4" customWidth="1"/>
    <col min="15365" max="15365" width="11.88671875" style="4" customWidth="1"/>
    <col min="15366" max="15368" width="6.5546875" style="4" customWidth="1"/>
    <col min="15369" max="15369" width="10" style="4" customWidth="1"/>
    <col min="15370" max="15370" width="6.44140625" style="4" customWidth="1"/>
    <col min="15371" max="15372" width="10" style="4" customWidth="1"/>
    <col min="15373" max="15373" width="6.44140625" style="4" customWidth="1"/>
    <col min="15374" max="15374" width="6.6640625" style="4" customWidth="1"/>
    <col min="15375" max="15375" width="6" style="4" customWidth="1"/>
    <col min="15376" max="15376" width="7.33203125" style="4" customWidth="1"/>
    <col min="15377" max="15377" width="6.6640625" style="4" customWidth="1"/>
    <col min="15378" max="15378" width="7.5546875" style="4" customWidth="1"/>
    <col min="15379" max="15379" width="7.44140625" style="4" customWidth="1"/>
    <col min="15380" max="15617" width="9.109375" style="4"/>
    <col min="15618" max="15618" width="4.88671875" style="4" customWidth="1"/>
    <col min="15619" max="15619" width="21.44140625" style="4" customWidth="1"/>
    <col min="15620" max="15620" width="8.109375" style="4" customWidth="1"/>
    <col min="15621" max="15621" width="11.88671875" style="4" customWidth="1"/>
    <col min="15622" max="15624" width="6.5546875" style="4" customWidth="1"/>
    <col min="15625" max="15625" width="10" style="4" customWidth="1"/>
    <col min="15626" max="15626" width="6.44140625" style="4" customWidth="1"/>
    <col min="15627" max="15628" width="10" style="4" customWidth="1"/>
    <col min="15629" max="15629" width="6.44140625" style="4" customWidth="1"/>
    <col min="15630" max="15630" width="6.6640625" style="4" customWidth="1"/>
    <col min="15631" max="15631" width="6" style="4" customWidth="1"/>
    <col min="15632" max="15632" width="7.33203125" style="4" customWidth="1"/>
    <col min="15633" max="15633" width="6.6640625" style="4" customWidth="1"/>
    <col min="15634" max="15634" width="7.5546875" style="4" customWidth="1"/>
    <col min="15635" max="15635" width="7.44140625" style="4" customWidth="1"/>
    <col min="15636" max="15873" width="9.109375" style="4"/>
    <col min="15874" max="15874" width="4.88671875" style="4" customWidth="1"/>
    <col min="15875" max="15875" width="21.44140625" style="4" customWidth="1"/>
    <col min="15876" max="15876" width="8.109375" style="4" customWidth="1"/>
    <col min="15877" max="15877" width="11.88671875" style="4" customWidth="1"/>
    <col min="15878" max="15880" width="6.5546875" style="4" customWidth="1"/>
    <col min="15881" max="15881" width="10" style="4" customWidth="1"/>
    <col min="15882" max="15882" width="6.44140625" style="4" customWidth="1"/>
    <col min="15883" max="15884" width="10" style="4" customWidth="1"/>
    <col min="15885" max="15885" width="6.44140625" style="4" customWidth="1"/>
    <col min="15886" max="15886" width="6.6640625" style="4" customWidth="1"/>
    <col min="15887" max="15887" width="6" style="4" customWidth="1"/>
    <col min="15888" max="15888" width="7.33203125" style="4" customWidth="1"/>
    <col min="15889" max="15889" width="6.6640625" style="4" customWidth="1"/>
    <col min="15890" max="15890" width="7.5546875" style="4" customWidth="1"/>
    <col min="15891" max="15891" width="7.44140625" style="4" customWidth="1"/>
    <col min="15892" max="16129" width="9.109375" style="4"/>
    <col min="16130" max="16130" width="4.88671875" style="4" customWidth="1"/>
    <col min="16131" max="16131" width="21.44140625" style="4" customWidth="1"/>
    <col min="16132" max="16132" width="8.109375" style="4" customWidth="1"/>
    <col min="16133" max="16133" width="11.88671875" style="4" customWidth="1"/>
    <col min="16134" max="16136" width="6.5546875" style="4" customWidth="1"/>
    <col min="16137" max="16137" width="10" style="4" customWidth="1"/>
    <col min="16138" max="16138" width="6.44140625" style="4" customWidth="1"/>
    <col min="16139" max="16140" width="10" style="4" customWidth="1"/>
    <col min="16141" max="16141" width="6.44140625" style="4" customWidth="1"/>
    <col min="16142" max="16142" width="6.6640625" style="4" customWidth="1"/>
    <col min="16143" max="16143" width="6" style="4" customWidth="1"/>
    <col min="16144" max="16144" width="7.33203125" style="4" customWidth="1"/>
    <col min="16145" max="16145" width="6.6640625" style="4" customWidth="1"/>
    <col min="16146" max="16146" width="7.5546875" style="4" customWidth="1"/>
    <col min="16147" max="16147" width="7.44140625" style="4" customWidth="1"/>
    <col min="16148" max="16384" width="9.109375" style="4"/>
  </cols>
  <sheetData>
    <row r="1" spans="1:37" s="1" customFormat="1" ht="20.399999999999999">
      <c r="A1" s="95" t="s">
        <v>0</v>
      </c>
      <c r="B1" s="95"/>
      <c r="C1" s="95"/>
      <c r="D1" s="95"/>
      <c r="E1" s="95"/>
      <c r="F1" s="95"/>
      <c r="G1" s="95"/>
      <c r="H1" s="95"/>
      <c r="I1" s="95"/>
      <c r="J1" s="95"/>
      <c r="K1" s="95"/>
      <c r="L1" s="95"/>
      <c r="M1" s="95"/>
      <c r="N1" s="95"/>
      <c r="O1" s="95"/>
      <c r="P1" s="95"/>
      <c r="Q1" s="95"/>
      <c r="R1" s="95"/>
    </row>
    <row r="2" spans="1:37" s="1" customFormat="1" ht="18">
      <c r="A2" s="96" t="s">
        <v>171</v>
      </c>
      <c r="B2" s="96"/>
      <c r="C2" s="96"/>
      <c r="D2" s="96"/>
      <c r="E2" s="96"/>
      <c r="F2" s="96"/>
      <c r="G2" s="96"/>
      <c r="H2" s="96"/>
      <c r="I2" s="96"/>
      <c r="J2" s="96"/>
      <c r="K2" s="96"/>
      <c r="L2" s="96"/>
      <c r="M2" s="96"/>
      <c r="N2" s="96"/>
      <c r="O2" s="96"/>
      <c r="P2" s="96"/>
      <c r="Q2" s="96"/>
      <c r="R2" s="96"/>
    </row>
    <row r="3" spans="1:37" s="1" customFormat="1" ht="18">
      <c r="A3" s="6"/>
      <c r="B3" s="6"/>
      <c r="C3" s="6"/>
      <c r="D3" s="37"/>
      <c r="E3" s="6"/>
      <c r="F3" s="6"/>
      <c r="G3" s="6"/>
      <c r="H3" s="6"/>
      <c r="I3" s="6"/>
      <c r="J3" s="6"/>
      <c r="K3" s="6"/>
      <c r="L3" s="6"/>
      <c r="M3" s="6"/>
      <c r="N3" s="6"/>
      <c r="O3" s="6"/>
      <c r="P3" s="6"/>
      <c r="Q3" s="6"/>
      <c r="R3" s="6"/>
      <c r="V3" s="41" t="s">
        <v>87</v>
      </c>
      <c r="W3" s="41"/>
      <c r="X3" s="41"/>
    </row>
    <row r="4" spans="1:37" s="1" customFormat="1" ht="18">
      <c r="A4" s="7" t="s">
        <v>1</v>
      </c>
      <c r="B4" s="8"/>
      <c r="C4" s="8" t="s">
        <v>170</v>
      </c>
      <c r="D4" s="38"/>
      <c r="E4" s="8"/>
      <c r="F4" s="8"/>
      <c r="G4" s="8"/>
      <c r="H4" s="8"/>
      <c r="I4" s="8"/>
      <c r="J4" s="8" t="s">
        <v>190</v>
      </c>
      <c r="K4" s="8" t="s">
        <v>436</v>
      </c>
      <c r="L4" s="82"/>
      <c r="M4" s="6"/>
      <c r="N4" s="6"/>
      <c r="O4" s="6"/>
      <c r="P4" s="6"/>
      <c r="Q4" s="6"/>
      <c r="R4" s="6"/>
      <c r="V4" s="41"/>
      <c r="W4" s="41">
        <v>9</v>
      </c>
      <c r="X4" s="41">
        <v>2026</v>
      </c>
    </row>
    <row r="5" spans="1:37" s="1" customFormat="1" ht="18">
      <c r="A5" s="7" t="s">
        <v>2</v>
      </c>
      <c r="B5" s="8"/>
      <c r="C5" s="8" t="s">
        <v>172</v>
      </c>
      <c r="D5" s="38"/>
      <c r="E5" s="8"/>
      <c r="F5" s="8"/>
      <c r="G5" s="8"/>
      <c r="H5" s="8"/>
      <c r="I5" s="8"/>
      <c r="J5" s="8"/>
      <c r="K5" s="8"/>
      <c r="L5" s="82"/>
      <c r="R5" s="83"/>
    </row>
    <row r="6" spans="1:37">
      <c r="A6" s="9"/>
      <c r="B6" s="9"/>
      <c r="C6" s="9"/>
      <c r="D6" s="9"/>
      <c r="E6" s="9"/>
      <c r="F6" s="9"/>
      <c r="G6" s="10"/>
      <c r="H6" s="10"/>
      <c r="I6" s="10"/>
      <c r="J6" s="10"/>
      <c r="K6" s="10"/>
      <c r="L6" s="9"/>
    </row>
    <row r="7" spans="1:37" ht="0.75" customHeight="1">
      <c r="A7" s="9"/>
      <c r="B7" s="9"/>
      <c r="C7" s="9"/>
      <c r="D7" s="9"/>
      <c r="E7" s="9"/>
      <c r="F7" s="9"/>
      <c r="G7" s="10"/>
      <c r="H7" s="10"/>
      <c r="I7" s="10"/>
      <c r="J7" s="10"/>
      <c r="K7" s="10"/>
      <c r="L7" s="9"/>
    </row>
    <row r="8" spans="1:37" s="2" customFormat="1">
      <c r="A8" s="97" t="s">
        <v>3</v>
      </c>
      <c r="B8" s="98" t="s">
        <v>4</v>
      </c>
      <c r="C8" s="98"/>
      <c r="D8" s="99" t="s">
        <v>5</v>
      </c>
      <c r="E8" s="98" t="s">
        <v>6</v>
      </c>
      <c r="F8" s="98"/>
      <c r="G8" s="98" t="s">
        <v>7</v>
      </c>
      <c r="H8" s="98"/>
      <c r="I8" s="98"/>
      <c r="J8" s="98"/>
      <c r="K8" s="98"/>
      <c r="L8" s="98" t="s">
        <v>8</v>
      </c>
      <c r="M8" s="98"/>
      <c r="N8" s="98"/>
      <c r="O8" s="98"/>
      <c r="P8" s="98"/>
      <c r="Q8" s="98"/>
      <c r="R8" s="100" t="s">
        <v>9</v>
      </c>
      <c r="T8" s="2" t="s">
        <v>86</v>
      </c>
    </row>
    <row r="9" spans="1:37" s="2" customFormat="1" ht="39.6">
      <c r="A9" s="97"/>
      <c r="B9" s="98"/>
      <c r="C9" s="98"/>
      <c r="D9" s="99"/>
      <c r="E9" s="91" t="s">
        <v>10</v>
      </c>
      <c r="F9" s="91" t="s">
        <v>11</v>
      </c>
      <c r="G9" s="92" t="s">
        <v>12</v>
      </c>
      <c r="H9" s="92" t="s">
        <v>13</v>
      </c>
      <c r="I9" s="92" t="s">
        <v>14</v>
      </c>
      <c r="J9" s="92" t="s">
        <v>13</v>
      </c>
      <c r="K9" s="92" t="s">
        <v>15</v>
      </c>
      <c r="L9" s="84" t="s">
        <v>16</v>
      </c>
      <c r="M9" s="84" t="s">
        <v>17</v>
      </c>
      <c r="N9" s="84" t="s">
        <v>18</v>
      </c>
      <c r="O9" s="84" t="s">
        <v>19</v>
      </c>
      <c r="P9" s="84" t="s">
        <v>20</v>
      </c>
      <c r="Q9" s="84" t="s">
        <v>21</v>
      </c>
      <c r="R9" s="97"/>
      <c r="Y9" s="90" t="s">
        <v>25</v>
      </c>
      <c r="Z9" s="90" t="s">
        <v>29</v>
      </c>
      <c r="AA9" s="90" t="s">
        <v>41</v>
      </c>
      <c r="AB9" s="90" t="s">
        <v>25</v>
      </c>
      <c r="AC9" s="90" t="s">
        <v>27</v>
      </c>
      <c r="AD9" s="90" t="s">
        <v>92</v>
      </c>
      <c r="AE9" s="90" t="s">
        <v>25</v>
      </c>
      <c r="AF9" s="90" t="s">
        <v>33</v>
      </c>
      <c r="AG9" s="90" t="s">
        <v>37</v>
      </c>
      <c r="AH9" s="90" t="s">
        <v>35</v>
      </c>
      <c r="AI9" s="90" t="s">
        <v>23</v>
      </c>
      <c r="AJ9" s="90" t="s">
        <v>57</v>
      </c>
      <c r="AK9" s="90" t="s">
        <v>81</v>
      </c>
    </row>
    <row r="10" spans="1:37" s="148" customFormat="1" ht="16.8">
      <c r="A10" s="138">
        <v>1</v>
      </c>
      <c r="B10" s="139" t="s">
        <v>411</v>
      </c>
      <c r="C10" s="140" t="s">
        <v>167</v>
      </c>
      <c r="D10" s="141">
        <v>44058</v>
      </c>
      <c r="E10" s="142" t="s">
        <v>189</v>
      </c>
      <c r="F10" s="143"/>
      <c r="G10" s="144">
        <v>29.5</v>
      </c>
      <c r="H10" s="155" t="s">
        <v>41</v>
      </c>
      <c r="I10" s="145">
        <v>116</v>
      </c>
      <c r="J10" s="145" t="s">
        <v>270</v>
      </c>
      <c r="K10" s="155" t="s">
        <v>37</v>
      </c>
      <c r="L10" s="145" t="s">
        <v>22</v>
      </c>
      <c r="M10" s="145" t="s">
        <v>22</v>
      </c>
      <c r="N10" s="145" t="s">
        <v>22</v>
      </c>
      <c r="O10" s="145" t="s">
        <v>22</v>
      </c>
      <c r="P10" s="145" t="s">
        <v>22</v>
      </c>
      <c r="Q10" s="145" t="s">
        <v>22</v>
      </c>
      <c r="R10" s="147" t="s">
        <v>81</v>
      </c>
      <c r="S10" s="148" t="str">
        <f>PROPER(B10)</f>
        <v xml:space="preserve">Nguyễn Trọng </v>
      </c>
      <c r="T10" s="148">
        <f>DATEDIF(D10,DATE($X$4,$W$4,$V$4),"m")</f>
        <v>72</v>
      </c>
      <c r="U10" s="148">
        <f>G10/(I10/100)^2</f>
        <v>21.92330558858502</v>
      </c>
      <c r="W10" s="145"/>
      <c r="Y10" s="146">
        <f>COUNTIF(H10:H35,Y9)</f>
        <v>19</v>
      </c>
      <c r="Z10" s="146">
        <f>COUNTIF(H10:H35,Z9)</f>
        <v>0</v>
      </c>
      <c r="AA10" s="146">
        <f>COUNTIF(H10:H35,AA9)</f>
        <v>7</v>
      </c>
      <c r="AB10" s="146">
        <f>COUNTIF(J10:J35,AB9)</f>
        <v>26</v>
      </c>
      <c r="AC10" s="146">
        <f>COUNTIF(J10:J35,AC9)</f>
        <v>0</v>
      </c>
      <c r="AD10" s="146">
        <f>COUNTIF(J10:J35,AD9)</f>
        <v>0</v>
      </c>
      <c r="AE10" s="146">
        <f>COUNTIF(K10:K35,AE9)</f>
        <v>15</v>
      </c>
      <c r="AF10" s="146">
        <f>COUNTIF(K10:K35,AF9)</f>
        <v>5</v>
      </c>
      <c r="AG10" s="146">
        <f>COUNTIF(K10:K35,AG9)</f>
        <v>6</v>
      </c>
      <c r="AH10" s="146">
        <f>COUNTIF(K10:K35,AH9)</f>
        <v>0</v>
      </c>
      <c r="AI10" s="146">
        <f>COUNTIF(R10:R35,AI9)</f>
        <v>6</v>
      </c>
      <c r="AJ10" s="146">
        <f>COUNTIF(R10:R35,AJ9)</f>
        <v>14</v>
      </c>
      <c r="AK10" s="146">
        <f>COUNTIF(R10:R35,AK9)</f>
        <v>6</v>
      </c>
    </row>
    <row r="11" spans="1:37" s="148" customFormat="1" ht="16.8">
      <c r="A11" s="138">
        <v>2</v>
      </c>
      <c r="B11" s="139" t="s">
        <v>412</v>
      </c>
      <c r="C11" s="149" t="s">
        <v>158</v>
      </c>
      <c r="D11" s="141">
        <v>44432</v>
      </c>
      <c r="E11" s="142"/>
      <c r="F11" s="150" t="s">
        <v>189</v>
      </c>
      <c r="G11" s="144">
        <v>26.3</v>
      </c>
      <c r="H11" s="145" t="s">
        <v>270</v>
      </c>
      <c r="I11" s="145">
        <v>118</v>
      </c>
      <c r="J11" s="145" t="s">
        <v>270</v>
      </c>
      <c r="K11" s="145" t="s">
        <v>270</v>
      </c>
      <c r="L11" s="145" t="s">
        <v>22</v>
      </c>
      <c r="M11" s="145" t="s">
        <v>22</v>
      </c>
      <c r="N11" s="145" t="s">
        <v>22</v>
      </c>
      <c r="O11" s="145" t="s">
        <v>22</v>
      </c>
      <c r="P11" s="155" t="s">
        <v>438</v>
      </c>
      <c r="Q11" s="145" t="s">
        <v>22</v>
      </c>
      <c r="R11" s="147" t="s">
        <v>57</v>
      </c>
      <c r="S11" s="148" t="str">
        <f t="shared" ref="S11:S35" si="0">PROPER(B11)</f>
        <v xml:space="preserve">Nguyễn Tú </v>
      </c>
      <c r="T11" s="148">
        <f t="shared" ref="T11:T35" si="1">DATEDIF(D11,DATE($X$4,$W$4,$V$4),"m")</f>
        <v>60</v>
      </c>
      <c r="U11" s="148">
        <f t="shared" ref="U11:U35" si="2">G11/(I11/100)^2</f>
        <v>18.888250502729104</v>
      </c>
      <c r="Y11" s="148">
        <f>SUM(Y10:AA10)</f>
        <v>26</v>
      </c>
    </row>
    <row r="12" spans="1:37" s="148" customFormat="1" ht="16.8">
      <c r="A12" s="138">
        <v>3</v>
      </c>
      <c r="B12" s="139" t="s">
        <v>153</v>
      </c>
      <c r="C12" s="149" t="s">
        <v>158</v>
      </c>
      <c r="D12" s="151">
        <v>44459</v>
      </c>
      <c r="E12" s="142" t="s">
        <v>189</v>
      </c>
      <c r="F12" s="143"/>
      <c r="G12" s="144">
        <v>17.8</v>
      </c>
      <c r="H12" s="145" t="s">
        <v>270</v>
      </c>
      <c r="I12" s="145">
        <v>104</v>
      </c>
      <c r="J12" s="145" t="s">
        <v>270</v>
      </c>
      <c r="K12" s="145" t="s">
        <v>270</v>
      </c>
      <c r="L12" s="145" t="s">
        <v>22</v>
      </c>
      <c r="M12" s="145" t="s">
        <v>22</v>
      </c>
      <c r="N12" s="145" t="s">
        <v>22</v>
      </c>
      <c r="O12" s="145" t="s">
        <v>22</v>
      </c>
      <c r="P12" s="145" t="s">
        <v>22</v>
      </c>
      <c r="Q12" s="145" t="s">
        <v>22</v>
      </c>
      <c r="R12" s="147" t="s">
        <v>23</v>
      </c>
      <c r="S12" s="148" t="str">
        <f t="shared" si="0"/>
        <v>Nguyễn Hoàng</v>
      </c>
      <c r="T12" s="148">
        <f t="shared" si="1"/>
        <v>59</v>
      </c>
      <c r="U12" s="148">
        <f t="shared" si="2"/>
        <v>16.457100591715975</v>
      </c>
      <c r="Y12" s="148">
        <f>SUM(AB10:AD10)</f>
        <v>26</v>
      </c>
    </row>
    <row r="13" spans="1:37" s="148" customFormat="1" ht="18" customHeight="1">
      <c r="A13" s="138">
        <v>4</v>
      </c>
      <c r="B13" s="139" t="s">
        <v>413</v>
      </c>
      <c r="C13" s="149" t="s">
        <v>414</v>
      </c>
      <c r="D13" s="151">
        <v>44383</v>
      </c>
      <c r="E13" s="142" t="s">
        <v>189</v>
      </c>
      <c r="F13" s="143"/>
      <c r="G13" s="144">
        <v>18.8</v>
      </c>
      <c r="H13" s="145" t="s">
        <v>270</v>
      </c>
      <c r="I13" s="145">
        <v>113</v>
      </c>
      <c r="J13" s="145" t="s">
        <v>270</v>
      </c>
      <c r="K13" s="145" t="s">
        <v>270</v>
      </c>
      <c r="L13" s="145" t="s">
        <v>22</v>
      </c>
      <c r="M13" s="145" t="s">
        <v>22</v>
      </c>
      <c r="N13" s="145" t="s">
        <v>22</v>
      </c>
      <c r="O13" s="145" t="s">
        <v>22</v>
      </c>
      <c r="P13" s="155" t="s">
        <v>439</v>
      </c>
      <c r="Q13" s="145" t="s">
        <v>22</v>
      </c>
      <c r="R13" s="147" t="s">
        <v>57</v>
      </c>
      <c r="S13" s="148" t="str">
        <f t="shared" si="0"/>
        <v>Dương Ng. Thiên</v>
      </c>
      <c r="T13" s="148">
        <f t="shared" si="1"/>
        <v>61</v>
      </c>
      <c r="U13" s="148">
        <f t="shared" si="2"/>
        <v>14.723157647427367</v>
      </c>
      <c r="Y13" s="148">
        <f>SUM(AE10:AH10)</f>
        <v>26</v>
      </c>
    </row>
    <row r="14" spans="1:37" s="148" customFormat="1" ht="16.8">
      <c r="A14" s="138">
        <v>5</v>
      </c>
      <c r="B14" s="139" t="s">
        <v>415</v>
      </c>
      <c r="C14" s="149" t="s">
        <v>414</v>
      </c>
      <c r="D14" s="151">
        <v>44301</v>
      </c>
      <c r="E14" s="142" t="s">
        <v>189</v>
      </c>
      <c r="F14" s="150"/>
      <c r="G14" s="144">
        <v>26.9</v>
      </c>
      <c r="H14" s="155" t="s">
        <v>41</v>
      </c>
      <c r="I14" s="145">
        <v>117</v>
      </c>
      <c r="J14" s="145" t="s">
        <v>270</v>
      </c>
      <c r="K14" s="155" t="s">
        <v>37</v>
      </c>
      <c r="L14" s="145" t="s">
        <v>22</v>
      </c>
      <c r="M14" s="155" t="s">
        <v>51</v>
      </c>
      <c r="N14" s="145" t="s">
        <v>22</v>
      </c>
      <c r="O14" s="145" t="s">
        <v>22</v>
      </c>
      <c r="P14" s="145" t="s">
        <v>22</v>
      </c>
      <c r="Q14" s="145" t="s">
        <v>22</v>
      </c>
      <c r="R14" s="147" t="s">
        <v>81</v>
      </c>
      <c r="S14" s="148" t="str">
        <f t="shared" si="0"/>
        <v xml:space="preserve">Huỳnh Thiên </v>
      </c>
      <c r="T14" s="148">
        <f t="shared" si="1"/>
        <v>64</v>
      </c>
      <c r="U14" s="148">
        <f t="shared" si="2"/>
        <v>19.650814522609398</v>
      </c>
      <c r="Y14" s="148">
        <f>SUM(AI10:AK10)</f>
        <v>26</v>
      </c>
    </row>
    <row r="15" spans="1:37" s="148" customFormat="1" ht="16.8">
      <c r="A15" s="138">
        <v>6</v>
      </c>
      <c r="B15" s="139" t="s">
        <v>416</v>
      </c>
      <c r="C15" s="149" t="s">
        <v>339</v>
      </c>
      <c r="D15" s="151">
        <v>44274</v>
      </c>
      <c r="E15" s="142" t="s">
        <v>189</v>
      </c>
      <c r="F15" s="143"/>
      <c r="G15" s="144">
        <v>25.9</v>
      </c>
      <c r="H15" s="155" t="s">
        <v>41</v>
      </c>
      <c r="I15" s="145">
        <v>115</v>
      </c>
      <c r="J15" s="145" t="s">
        <v>270</v>
      </c>
      <c r="K15" s="155" t="s">
        <v>37</v>
      </c>
      <c r="L15" s="145" t="s">
        <v>22</v>
      </c>
      <c r="M15" s="145" t="s">
        <v>22</v>
      </c>
      <c r="N15" s="145" t="s">
        <v>22</v>
      </c>
      <c r="O15" s="145" t="s">
        <v>22</v>
      </c>
      <c r="P15" s="155" t="s">
        <v>439</v>
      </c>
      <c r="Q15" s="145" t="s">
        <v>22</v>
      </c>
      <c r="R15" s="147" t="s">
        <v>81</v>
      </c>
      <c r="S15" s="148" t="str">
        <f t="shared" si="0"/>
        <v>Nguyễn Thành</v>
      </c>
      <c r="T15" s="148">
        <f t="shared" si="1"/>
        <v>65</v>
      </c>
      <c r="U15" s="148">
        <f t="shared" si="2"/>
        <v>19.584120982986768</v>
      </c>
    </row>
    <row r="16" spans="1:37" s="148" customFormat="1" ht="16.8">
      <c r="A16" s="138">
        <v>7</v>
      </c>
      <c r="B16" s="139" t="s">
        <v>417</v>
      </c>
      <c r="C16" s="149" t="s">
        <v>165</v>
      </c>
      <c r="D16" s="151">
        <v>44385</v>
      </c>
      <c r="E16" s="142" t="s">
        <v>189</v>
      </c>
      <c r="F16" s="143"/>
      <c r="G16" s="144">
        <v>30</v>
      </c>
      <c r="H16" s="155" t="s">
        <v>41</v>
      </c>
      <c r="I16" s="145">
        <v>115</v>
      </c>
      <c r="J16" s="145" t="s">
        <v>270</v>
      </c>
      <c r="K16" s="155" t="s">
        <v>37</v>
      </c>
      <c r="L16" s="145" t="s">
        <v>22</v>
      </c>
      <c r="M16" s="145" t="s">
        <v>22</v>
      </c>
      <c r="N16" s="145" t="s">
        <v>22</v>
      </c>
      <c r="O16" s="145" t="s">
        <v>22</v>
      </c>
      <c r="P16" s="145" t="s">
        <v>22</v>
      </c>
      <c r="Q16" s="145" t="s">
        <v>22</v>
      </c>
      <c r="R16" s="147" t="s">
        <v>81</v>
      </c>
      <c r="S16" s="148" t="str">
        <f t="shared" si="0"/>
        <v>Đào Phước Minh</v>
      </c>
      <c r="T16" s="148">
        <f t="shared" si="1"/>
        <v>61</v>
      </c>
      <c r="U16" s="148">
        <f t="shared" si="2"/>
        <v>22.684310018903595</v>
      </c>
    </row>
    <row r="17" spans="1:21" s="148" customFormat="1" ht="16.8">
      <c r="A17" s="138">
        <v>8</v>
      </c>
      <c r="B17" s="152" t="s">
        <v>418</v>
      </c>
      <c r="C17" s="153" t="s">
        <v>393</v>
      </c>
      <c r="D17" s="151">
        <v>44355</v>
      </c>
      <c r="E17" s="142" t="s">
        <v>189</v>
      </c>
      <c r="F17" s="150"/>
      <c r="G17" s="144">
        <v>18.399999999999999</v>
      </c>
      <c r="H17" s="145" t="s">
        <v>270</v>
      </c>
      <c r="I17" s="145">
        <v>117</v>
      </c>
      <c r="J17" s="145" t="s">
        <v>270</v>
      </c>
      <c r="K17" s="145" t="s">
        <v>270</v>
      </c>
      <c r="L17" s="145" t="s">
        <v>22</v>
      </c>
      <c r="M17" s="145" t="s">
        <v>22</v>
      </c>
      <c r="N17" s="145" t="s">
        <v>22</v>
      </c>
      <c r="O17" s="145" t="s">
        <v>22</v>
      </c>
      <c r="P17" s="145" t="s">
        <v>22</v>
      </c>
      <c r="Q17" s="145" t="s">
        <v>22</v>
      </c>
      <c r="R17" s="147" t="s">
        <v>23</v>
      </c>
      <c r="S17" s="148" t="str">
        <f t="shared" si="0"/>
        <v>Ngô Đức Minh</v>
      </c>
      <c r="T17" s="148">
        <f t="shared" si="1"/>
        <v>62</v>
      </c>
      <c r="U17" s="148">
        <f t="shared" si="2"/>
        <v>13.441449338885237</v>
      </c>
    </row>
    <row r="18" spans="1:21" s="148" customFormat="1" ht="16.8">
      <c r="A18" s="138">
        <v>9</v>
      </c>
      <c r="B18" s="139" t="s">
        <v>230</v>
      </c>
      <c r="C18" s="149" t="s">
        <v>393</v>
      </c>
      <c r="D18" s="154">
        <v>44434</v>
      </c>
      <c r="E18" s="142" t="s">
        <v>189</v>
      </c>
      <c r="F18" s="150"/>
      <c r="G18" s="144">
        <v>19.5</v>
      </c>
      <c r="H18" s="145" t="s">
        <v>270</v>
      </c>
      <c r="I18" s="145">
        <v>113</v>
      </c>
      <c r="J18" s="145" t="s">
        <v>270</v>
      </c>
      <c r="K18" s="145" t="s">
        <v>270</v>
      </c>
      <c r="L18" s="145" t="s">
        <v>22</v>
      </c>
      <c r="M18" s="145" t="s">
        <v>22</v>
      </c>
      <c r="N18" s="155" t="s">
        <v>55</v>
      </c>
      <c r="O18" s="145" t="s">
        <v>22</v>
      </c>
      <c r="P18" s="155" t="s">
        <v>438</v>
      </c>
      <c r="Q18" s="145" t="s">
        <v>22</v>
      </c>
      <c r="R18" s="147" t="s">
        <v>57</v>
      </c>
      <c r="S18" s="148" t="str">
        <f t="shared" si="0"/>
        <v>Trần Gia</v>
      </c>
      <c r="T18" s="148">
        <f t="shared" si="1"/>
        <v>60</v>
      </c>
      <c r="U18" s="148">
        <f t="shared" si="2"/>
        <v>15.271360325789024</v>
      </c>
    </row>
    <row r="19" spans="1:21" s="148" customFormat="1" ht="16.8">
      <c r="A19" s="138">
        <v>10</v>
      </c>
      <c r="B19" s="139" t="s">
        <v>419</v>
      </c>
      <c r="C19" s="140" t="s">
        <v>275</v>
      </c>
      <c r="D19" s="151">
        <v>44352</v>
      </c>
      <c r="E19" s="142" t="s">
        <v>189</v>
      </c>
      <c r="F19" s="150"/>
      <c r="G19" s="144">
        <v>19.5</v>
      </c>
      <c r="H19" s="145" t="s">
        <v>270</v>
      </c>
      <c r="I19" s="145">
        <v>109</v>
      </c>
      <c r="J19" s="145" t="s">
        <v>270</v>
      </c>
      <c r="K19" s="145" t="s">
        <v>270</v>
      </c>
      <c r="L19" s="145" t="s">
        <v>22</v>
      </c>
      <c r="M19" s="145" t="s">
        <v>22</v>
      </c>
      <c r="N19" s="145" t="s">
        <v>22</v>
      </c>
      <c r="O19" s="145" t="s">
        <v>22</v>
      </c>
      <c r="P19" s="145" t="s">
        <v>22</v>
      </c>
      <c r="Q19" s="145" t="s">
        <v>22</v>
      </c>
      <c r="R19" s="147" t="s">
        <v>23</v>
      </c>
      <c r="S19" s="148" t="str">
        <f t="shared" si="0"/>
        <v>Đinh Nguyễn Gia</v>
      </c>
      <c r="T19" s="148">
        <f t="shared" si="1"/>
        <v>62</v>
      </c>
      <c r="U19" s="148">
        <f t="shared" si="2"/>
        <v>16.412759868697918</v>
      </c>
    </row>
    <row r="20" spans="1:21" s="148" customFormat="1" ht="16.8">
      <c r="A20" s="138">
        <v>11</v>
      </c>
      <c r="B20" s="139" t="s">
        <v>274</v>
      </c>
      <c r="C20" s="140" t="s">
        <v>275</v>
      </c>
      <c r="D20" s="151">
        <v>44407</v>
      </c>
      <c r="E20" s="142"/>
      <c r="F20" s="150" t="s">
        <v>189</v>
      </c>
      <c r="G20" s="144">
        <v>22.3</v>
      </c>
      <c r="H20" s="145" t="s">
        <v>270</v>
      </c>
      <c r="I20" s="145">
        <v>110</v>
      </c>
      <c r="J20" s="145" t="s">
        <v>270</v>
      </c>
      <c r="K20" s="155" t="s">
        <v>33</v>
      </c>
      <c r="L20" s="145" t="s">
        <v>22</v>
      </c>
      <c r="M20" s="145" t="s">
        <v>22</v>
      </c>
      <c r="N20" s="145" t="s">
        <v>22</v>
      </c>
      <c r="O20" s="145" t="s">
        <v>22</v>
      </c>
      <c r="P20" s="145" t="s">
        <v>22</v>
      </c>
      <c r="Q20" s="145" t="s">
        <v>22</v>
      </c>
      <c r="R20" s="147" t="s">
        <v>57</v>
      </c>
      <c r="S20" s="148" t="str">
        <f t="shared" si="0"/>
        <v>Trương Gia</v>
      </c>
      <c r="T20" s="148">
        <f t="shared" si="1"/>
        <v>61</v>
      </c>
      <c r="U20" s="148">
        <f t="shared" si="2"/>
        <v>18.4297520661157</v>
      </c>
    </row>
    <row r="21" spans="1:21" s="148" customFormat="1" ht="16.8">
      <c r="A21" s="138">
        <v>12</v>
      </c>
      <c r="B21" s="139" t="s">
        <v>313</v>
      </c>
      <c r="C21" s="140" t="s">
        <v>420</v>
      </c>
      <c r="D21" s="151">
        <v>44319</v>
      </c>
      <c r="E21" s="142" t="s">
        <v>189</v>
      </c>
      <c r="F21" s="150"/>
      <c r="G21" s="144">
        <v>22</v>
      </c>
      <c r="H21" s="145" t="s">
        <v>270</v>
      </c>
      <c r="I21" s="145">
        <v>107</v>
      </c>
      <c r="J21" s="145" t="s">
        <v>270</v>
      </c>
      <c r="K21" s="155" t="s">
        <v>33</v>
      </c>
      <c r="L21" s="145" t="s">
        <v>22</v>
      </c>
      <c r="M21" s="145" t="s">
        <v>22</v>
      </c>
      <c r="N21" s="145" t="s">
        <v>22</v>
      </c>
      <c r="O21" s="145" t="s">
        <v>22</v>
      </c>
      <c r="P21" s="145" t="s">
        <v>22</v>
      </c>
      <c r="Q21" s="145" t="s">
        <v>22</v>
      </c>
      <c r="R21" s="147" t="s">
        <v>57</v>
      </c>
      <c r="S21" s="148" t="str">
        <f t="shared" si="0"/>
        <v>Lê Gia</v>
      </c>
      <c r="T21" s="148">
        <f t="shared" si="1"/>
        <v>63</v>
      </c>
      <c r="U21" s="148">
        <f t="shared" si="2"/>
        <v>19.215652022010655</v>
      </c>
    </row>
    <row r="22" spans="1:21" s="148" customFormat="1" ht="16.8">
      <c r="A22" s="138">
        <v>13</v>
      </c>
      <c r="B22" s="139" t="s">
        <v>421</v>
      </c>
      <c r="C22" s="140" t="s">
        <v>155</v>
      </c>
      <c r="D22" s="151">
        <v>44458</v>
      </c>
      <c r="E22" s="142" t="s">
        <v>189</v>
      </c>
      <c r="F22" s="150"/>
      <c r="G22" s="144">
        <v>16</v>
      </c>
      <c r="H22" s="145" t="s">
        <v>270</v>
      </c>
      <c r="I22" s="145">
        <v>104</v>
      </c>
      <c r="J22" s="145" t="s">
        <v>270</v>
      </c>
      <c r="K22" s="145" t="s">
        <v>270</v>
      </c>
      <c r="L22" s="145" t="s">
        <v>22</v>
      </c>
      <c r="M22" s="145" t="s">
        <v>22</v>
      </c>
      <c r="N22" s="145" t="s">
        <v>22</v>
      </c>
      <c r="O22" s="145" t="s">
        <v>22</v>
      </c>
      <c r="P22" s="145" t="s">
        <v>22</v>
      </c>
      <c r="Q22" s="145" t="s">
        <v>22</v>
      </c>
      <c r="R22" s="147" t="s">
        <v>23</v>
      </c>
      <c r="S22" s="148" t="str">
        <f t="shared" si="0"/>
        <v>Vũ Nguyễn</v>
      </c>
      <c r="T22" s="148">
        <f t="shared" si="1"/>
        <v>59</v>
      </c>
      <c r="U22" s="148">
        <f t="shared" si="2"/>
        <v>14.792899408284022</v>
      </c>
    </row>
    <row r="23" spans="1:21" s="148" customFormat="1" ht="16.8">
      <c r="A23" s="138">
        <v>14</v>
      </c>
      <c r="B23" s="139" t="s">
        <v>422</v>
      </c>
      <c r="C23" s="140" t="s">
        <v>195</v>
      </c>
      <c r="D23" s="151">
        <v>44351</v>
      </c>
      <c r="E23" s="142" t="s">
        <v>189</v>
      </c>
      <c r="F23" s="150"/>
      <c r="G23" s="144">
        <v>25.8</v>
      </c>
      <c r="H23" s="155" t="s">
        <v>41</v>
      </c>
      <c r="I23" s="145">
        <v>114</v>
      </c>
      <c r="J23" s="145" t="s">
        <v>270</v>
      </c>
      <c r="K23" s="155" t="s">
        <v>37</v>
      </c>
      <c r="L23" s="145" t="s">
        <v>22</v>
      </c>
      <c r="M23" s="145" t="s">
        <v>22</v>
      </c>
      <c r="N23" s="145" t="s">
        <v>22</v>
      </c>
      <c r="O23" s="145" t="s">
        <v>22</v>
      </c>
      <c r="P23" s="145" t="s">
        <v>22</v>
      </c>
      <c r="Q23" s="145" t="s">
        <v>22</v>
      </c>
      <c r="R23" s="147" t="s">
        <v>81</v>
      </c>
      <c r="S23" s="148" t="str">
        <f t="shared" si="0"/>
        <v xml:space="preserve">Huỳnh Nguyễn Trung </v>
      </c>
      <c r="T23" s="148">
        <f t="shared" si="1"/>
        <v>62</v>
      </c>
      <c r="U23" s="148">
        <f t="shared" si="2"/>
        <v>19.852262234533704</v>
      </c>
    </row>
    <row r="24" spans="1:21" s="148" customFormat="1" ht="16.8">
      <c r="A24" s="138">
        <v>15</v>
      </c>
      <c r="B24" s="139" t="s">
        <v>423</v>
      </c>
      <c r="C24" s="140" t="s">
        <v>252</v>
      </c>
      <c r="D24" s="151">
        <v>44482</v>
      </c>
      <c r="E24" s="142" t="s">
        <v>189</v>
      </c>
      <c r="F24" s="150"/>
      <c r="G24" s="144">
        <v>22.3</v>
      </c>
      <c r="H24" s="145" t="s">
        <v>270</v>
      </c>
      <c r="I24" s="145">
        <v>110</v>
      </c>
      <c r="J24" s="145" t="s">
        <v>270</v>
      </c>
      <c r="K24" s="145" t="s">
        <v>270</v>
      </c>
      <c r="L24" s="145" t="s">
        <v>22</v>
      </c>
      <c r="M24" s="145" t="s">
        <v>22</v>
      </c>
      <c r="N24" s="145" t="s">
        <v>22</v>
      </c>
      <c r="O24" s="145" t="s">
        <v>22</v>
      </c>
      <c r="P24" s="155" t="s">
        <v>437</v>
      </c>
      <c r="Q24" s="145" t="s">
        <v>22</v>
      </c>
      <c r="R24" s="147" t="s">
        <v>57</v>
      </c>
      <c r="S24" s="148" t="str">
        <f t="shared" si="0"/>
        <v>Mai Phúc</v>
      </c>
      <c r="T24" s="148">
        <f t="shared" si="1"/>
        <v>58</v>
      </c>
      <c r="U24" s="148">
        <f t="shared" si="2"/>
        <v>18.4297520661157</v>
      </c>
    </row>
    <row r="25" spans="1:21" s="148" customFormat="1" ht="16.8">
      <c r="A25" s="138">
        <v>16</v>
      </c>
      <c r="B25" s="139" t="s">
        <v>424</v>
      </c>
      <c r="C25" s="140" t="s">
        <v>179</v>
      </c>
      <c r="D25" s="151">
        <v>44359</v>
      </c>
      <c r="E25" s="142" t="s">
        <v>189</v>
      </c>
      <c r="F25" s="150"/>
      <c r="G25" s="144">
        <v>17.7</v>
      </c>
      <c r="H25" s="145" t="s">
        <v>270</v>
      </c>
      <c r="I25" s="145">
        <v>104</v>
      </c>
      <c r="J25" s="145" t="s">
        <v>270</v>
      </c>
      <c r="K25" s="145" t="s">
        <v>270</v>
      </c>
      <c r="L25" s="145" t="s">
        <v>22</v>
      </c>
      <c r="M25" s="145" t="s">
        <v>22</v>
      </c>
      <c r="N25" s="145" t="s">
        <v>22</v>
      </c>
      <c r="O25" s="145" t="s">
        <v>22</v>
      </c>
      <c r="P25" s="155" t="s">
        <v>438</v>
      </c>
      <c r="Q25" s="145" t="s">
        <v>22</v>
      </c>
      <c r="R25" s="147" t="s">
        <v>57</v>
      </c>
      <c r="S25" s="148" t="str">
        <f t="shared" si="0"/>
        <v>Lê Thanh</v>
      </c>
      <c r="T25" s="148">
        <f t="shared" si="1"/>
        <v>62</v>
      </c>
      <c r="U25" s="148">
        <f t="shared" si="2"/>
        <v>16.364644970414197</v>
      </c>
    </row>
    <row r="26" spans="1:21" s="148" customFormat="1" ht="16.8">
      <c r="A26" s="138">
        <v>17</v>
      </c>
      <c r="B26" s="139" t="s">
        <v>425</v>
      </c>
      <c r="C26" s="140" t="s">
        <v>181</v>
      </c>
      <c r="D26" s="151">
        <v>44283</v>
      </c>
      <c r="E26" s="142" t="s">
        <v>189</v>
      </c>
      <c r="F26" s="150"/>
      <c r="G26" s="144">
        <v>22.6</v>
      </c>
      <c r="H26" s="145" t="s">
        <v>270</v>
      </c>
      <c r="I26" s="145">
        <v>116</v>
      </c>
      <c r="J26" s="145" t="s">
        <v>270</v>
      </c>
      <c r="K26" s="155" t="s">
        <v>33</v>
      </c>
      <c r="L26" s="145" t="s">
        <v>22</v>
      </c>
      <c r="M26" s="145" t="s">
        <v>22</v>
      </c>
      <c r="N26" s="145" t="s">
        <v>22</v>
      </c>
      <c r="O26" s="145" t="s">
        <v>22</v>
      </c>
      <c r="P26" s="145" t="s">
        <v>22</v>
      </c>
      <c r="Q26" s="145" t="s">
        <v>22</v>
      </c>
      <c r="R26" s="147" t="s">
        <v>57</v>
      </c>
      <c r="S26" s="148" t="str">
        <f t="shared" si="0"/>
        <v>Phạm Ngọc Gia</v>
      </c>
      <c r="T26" s="148">
        <f t="shared" si="1"/>
        <v>65</v>
      </c>
      <c r="U26" s="148">
        <f t="shared" si="2"/>
        <v>16.795481569560049</v>
      </c>
    </row>
    <row r="27" spans="1:21" s="148" customFormat="1" ht="16.8">
      <c r="A27" s="138">
        <v>18</v>
      </c>
      <c r="B27" s="139" t="s">
        <v>426</v>
      </c>
      <c r="C27" s="140" t="s">
        <v>322</v>
      </c>
      <c r="D27" s="151">
        <v>44340</v>
      </c>
      <c r="E27" s="142"/>
      <c r="F27" s="150" t="s">
        <v>189</v>
      </c>
      <c r="G27" s="144">
        <v>25.8</v>
      </c>
      <c r="H27" s="145" t="s">
        <v>270</v>
      </c>
      <c r="I27" s="145">
        <v>117</v>
      </c>
      <c r="J27" s="145" t="s">
        <v>270</v>
      </c>
      <c r="K27" s="145" t="s">
        <v>270</v>
      </c>
      <c r="L27" s="145" t="s">
        <v>22</v>
      </c>
      <c r="M27" s="145" t="s">
        <v>22</v>
      </c>
      <c r="N27" s="145" t="s">
        <v>22</v>
      </c>
      <c r="O27" s="145" t="s">
        <v>22</v>
      </c>
      <c r="P27" s="155" t="s">
        <v>439</v>
      </c>
      <c r="Q27" s="145" t="s">
        <v>22</v>
      </c>
      <c r="R27" s="147" t="s">
        <v>57</v>
      </c>
      <c r="S27" s="148" t="str">
        <f t="shared" si="0"/>
        <v xml:space="preserve">Lê Khánh </v>
      </c>
      <c r="T27" s="148">
        <f t="shared" si="1"/>
        <v>63</v>
      </c>
      <c r="U27" s="148">
        <f t="shared" si="2"/>
        <v>18.84724961648039</v>
      </c>
    </row>
    <row r="28" spans="1:21" s="148" customFormat="1" ht="16.8">
      <c r="A28" s="138">
        <v>19</v>
      </c>
      <c r="B28" s="139" t="s">
        <v>427</v>
      </c>
      <c r="C28" s="140" t="s">
        <v>322</v>
      </c>
      <c r="D28" s="151">
        <v>44273</v>
      </c>
      <c r="E28" s="142"/>
      <c r="F28" s="150" t="s">
        <v>189</v>
      </c>
      <c r="G28" s="144">
        <v>22</v>
      </c>
      <c r="H28" s="145" t="s">
        <v>270</v>
      </c>
      <c r="I28" s="145">
        <v>108</v>
      </c>
      <c r="J28" s="145" t="s">
        <v>270</v>
      </c>
      <c r="K28" s="155" t="s">
        <v>33</v>
      </c>
      <c r="L28" s="145" t="s">
        <v>22</v>
      </c>
      <c r="M28" s="145" t="s">
        <v>22</v>
      </c>
      <c r="N28" s="145" t="s">
        <v>22</v>
      </c>
      <c r="O28" s="145" t="s">
        <v>22</v>
      </c>
      <c r="P28" s="145" t="s">
        <v>22</v>
      </c>
      <c r="Q28" s="145" t="s">
        <v>22</v>
      </c>
      <c r="R28" s="147" t="s">
        <v>57</v>
      </c>
      <c r="S28" s="148" t="str">
        <f t="shared" si="0"/>
        <v>Lê Đặng Bảo</v>
      </c>
      <c r="T28" s="148">
        <f t="shared" si="1"/>
        <v>65</v>
      </c>
      <c r="U28" s="148">
        <f t="shared" si="2"/>
        <v>18.861454046639231</v>
      </c>
    </row>
    <row r="29" spans="1:21" s="148" customFormat="1" ht="16.8">
      <c r="A29" s="138">
        <v>20</v>
      </c>
      <c r="B29" s="139" t="s">
        <v>428</v>
      </c>
      <c r="C29" s="140" t="s">
        <v>322</v>
      </c>
      <c r="D29" s="151">
        <v>44673</v>
      </c>
      <c r="E29" s="142"/>
      <c r="F29" s="150" t="s">
        <v>189</v>
      </c>
      <c r="G29" s="144">
        <v>15</v>
      </c>
      <c r="H29" s="145" t="s">
        <v>270</v>
      </c>
      <c r="I29" s="145">
        <v>100</v>
      </c>
      <c r="J29" s="145" t="s">
        <v>270</v>
      </c>
      <c r="K29" s="155" t="s">
        <v>33</v>
      </c>
      <c r="L29" s="145" t="s">
        <v>22</v>
      </c>
      <c r="M29" s="155" t="s">
        <v>47</v>
      </c>
      <c r="N29" s="145" t="s">
        <v>22</v>
      </c>
      <c r="O29" s="145" t="s">
        <v>22</v>
      </c>
      <c r="P29" s="155" t="s">
        <v>439</v>
      </c>
      <c r="Q29" s="145" t="s">
        <v>22</v>
      </c>
      <c r="R29" s="147" t="s">
        <v>57</v>
      </c>
      <c r="S29" s="148" t="str">
        <f t="shared" si="0"/>
        <v>Nguyễn Hoàng Bảo</v>
      </c>
      <c r="T29" s="148">
        <f t="shared" si="1"/>
        <v>52</v>
      </c>
      <c r="U29" s="148">
        <f t="shared" si="2"/>
        <v>15</v>
      </c>
    </row>
    <row r="30" spans="1:21" s="148" customFormat="1" ht="16.8">
      <c r="A30" s="138">
        <v>21</v>
      </c>
      <c r="B30" s="139" t="s">
        <v>429</v>
      </c>
      <c r="C30" s="140" t="s">
        <v>299</v>
      </c>
      <c r="D30" s="151">
        <v>44368</v>
      </c>
      <c r="E30" s="142" t="s">
        <v>189</v>
      </c>
      <c r="F30" s="150"/>
      <c r="G30" s="144">
        <v>16.100000000000001</v>
      </c>
      <c r="H30" s="145" t="s">
        <v>270</v>
      </c>
      <c r="I30" s="145">
        <v>105</v>
      </c>
      <c r="J30" s="145" t="s">
        <v>270</v>
      </c>
      <c r="K30" s="145" t="s">
        <v>270</v>
      </c>
      <c r="L30" s="145" t="s">
        <v>22</v>
      </c>
      <c r="M30" s="145" t="s">
        <v>22</v>
      </c>
      <c r="N30" s="145" t="s">
        <v>22</v>
      </c>
      <c r="O30" s="145" t="s">
        <v>22</v>
      </c>
      <c r="P30" s="145" t="s">
        <v>22</v>
      </c>
      <c r="Q30" s="145" t="s">
        <v>22</v>
      </c>
      <c r="R30" s="147" t="s">
        <v>23</v>
      </c>
      <c r="S30" s="148" t="str">
        <f t="shared" si="0"/>
        <v>Phạm Hoàng An</v>
      </c>
      <c r="T30" s="148">
        <f t="shared" si="1"/>
        <v>62</v>
      </c>
      <c r="U30" s="148">
        <f t="shared" si="2"/>
        <v>14.603174603174605</v>
      </c>
    </row>
    <row r="31" spans="1:21" s="148" customFormat="1" ht="16.8">
      <c r="A31" s="138">
        <v>22</v>
      </c>
      <c r="B31" s="139" t="s">
        <v>430</v>
      </c>
      <c r="C31" s="140" t="s">
        <v>431</v>
      </c>
      <c r="D31" s="151">
        <v>44288</v>
      </c>
      <c r="E31" s="142" t="s">
        <v>189</v>
      </c>
      <c r="F31" s="150"/>
      <c r="G31" s="144">
        <v>24.7</v>
      </c>
      <c r="H31" s="145" t="s">
        <v>270</v>
      </c>
      <c r="I31" s="145">
        <v>115</v>
      </c>
      <c r="J31" s="145" t="s">
        <v>270</v>
      </c>
      <c r="K31" s="145" t="s">
        <v>270</v>
      </c>
      <c r="L31" s="145" t="s">
        <v>22</v>
      </c>
      <c r="M31" s="145" t="s">
        <v>22</v>
      </c>
      <c r="N31" s="145" t="s">
        <v>22</v>
      </c>
      <c r="O31" s="145" t="s">
        <v>22</v>
      </c>
      <c r="P31" s="155" t="s">
        <v>438</v>
      </c>
      <c r="Q31" s="145" t="s">
        <v>22</v>
      </c>
      <c r="R31" s="147" t="s">
        <v>57</v>
      </c>
      <c r="S31" s="148" t="str">
        <f t="shared" si="0"/>
        <v>Đỗ Minh</v>
      </c>
      <c r="T31" s="148">
        <f t="shared" si="1"/>
        <v>64</v>
      </c>
      <c r="U31" s="148">
        <f t="shared" si="2"/>
        <v>18.676748582230626</v>
      </c>
    </row>
    <row r="32" spans="1:21" s="148" customFormat="1" ht="16.8">
      <c r="A32" s="138">
        <v>23</v>
      </c>
      <c r="B32" s="139" t="s">
        <v>432</v>
      </c>
      <c r="C32" s="140" t="s">
        <v>154</v>
      </c>
      <c r="D32" s="151">
        <v>44208</v>
      </c>
      <c r="E32" s="142"/>
      <c r="F32" s="150" t="s">
        <v>189</v>
      </c>
      <c r="G32" s="144">
        <v>22.6</v>
      </c>
      <c r="H32" s="145" t="s">
        <v>270</v>
      </c>
      <c r="I32" s="145">
        <v>112</v>
      </c>
      <c r="J32" s="145" t="s">
        <v>270</v>
      </c>
      <c r="K32" s="145" t="s">
        <v>270</v>
      </c>
      <c r="L32" s="145" t="s">
        <v>22</v>
      </c>
      <c r="M32" s="145" t="s">
        <v>22</v>
      </c>
      <c r="N32" s="145" t="s">
        <v>22</v>
      </c>
      <c r="O32" s="145" t="s">
        <v>22</v>
      </c>
      <c r="P32" s="155" t="s">
        <v>439</v>
      </c>
      <c r="Q32" s="145" t="s">
        <v>22</v>
      </c>
      <c r="R32" s="147" t="s">
        <v>57</v>
      </c>
      <c r="S32" s="148" t="str">
        <f t="shared" si="0"/>
        <v>Trương Thảo</v>
      </c>
      <c r="T32" s="148">
        <f t="shared" si="1"/>
        <v>67</v>
      </c>
      <c r="U32" s="148">
        <f t="shared" si="2"/>
        <v>18.016581632653061</v>
      </c>
    </row>
    <row r="33" spans="1:21" s="148" customFormat="1" ht="16.8">
      <c r="A33" s="138">
        <v>24</v>
      </c>
      <c r="B33" s="139" t="s">
        <v>433</v>
      </c>
      <c r="C33" s="140" t="s">
        <v>257</v>
      </c>
      <c r="D33" s="151">
        <v>44412</v>
      </c>
      <c r="E33" s="142"/>
      <c r="F33" s="150" t="s">
        <v>189</v>
      </c>
      <c r="G33" s="144">
        <v>25.1</v>
      </c>
      <c r="H33" s="155" t="s">
        <v>41</v>
      </c>
      <c r="I33" s="145">
        <v>115</v>
      </c>
      <c r="J33" s="145" t="s">
        <v>270</v>
      </c>
      <c r="K33" s="145" t="s">
        <v>270</v>
      </c>
      <c r="L33" s="145" t="s">
        <v>22</v>
      </c>
      <c r="M33" s="155" t="s">
        <v>51</v>
      </c>
      <c r="N33" s="145" t="s">
        <v>22</v>
      </c>
      <c r="O33" s="145" t="s">
        <v>22</v>
      </c>
      <c r="P33" s="155" t="s">
        <v>438</v>
      </c>
      <c r="Q33" s="145" t="s">
        <v>22</v>
      </c>
      <c r="R33" s="147" t="s">
        <v>57</v>
      </c>
      <c r="S33" s="148" t="str">
        <f t="shared" ref="S33:S34" si="3">PROPER(B33)</f>
        <v>Trương Hoàng An</v>
      </c>
      <c r="T33" s="148">
        <f t="shared" ref="T33:T34" si="4">DATEDIF(D33,DATE($X$4,$W$4,$V$4),"m")</f>
        <v>60</v>
      </c>
      <c r="U33" s="148">
        <f t="shared" ref="U33:U34" si="5">G33/(I33/100)^2</f>
        <v>18.979206049149344</v>
      </c>
    </row>
    <row r="34" spans="1:21" s="148" customFormat="1" ht="16.8">
      <c r="A34" s="138">
        <v>25</v>
      </c>
      <c r="B34" s="139" t="s">
        <v>434</v>
      </c>
      <c r="C34" s="140" t="s">
        <v>166</v>
      </c>
      <c r="D34" s="151">
        <v>44279</v>
      </c>
      <c r="E34" s="142"/>
      <c r="F34" s="150" t="s">
        <v>189</v>
      </c>
      <c r="G34" s="144">
        <v>30.4</v>
      </c>
      <c r="H34" s="155" t="s">
        <v>41</v>
      </c>
      <c r="I34" s="145">
        <v>116</v>
      </c>
      <c r="J34" s="145" t="s">
        <v>270</v>
      </c>
      <c r="K34" s="155" t="s">
        <v>37</v>
      </c>
      <c r="L34" s="145" t="s">
        <v>22</v>
      </c>
      <c r="M34" s="145" t="s">
        <v>22</v>
      </c>
      <c r="N34" s="145" t="s">
        <v>22</v>
      </c>
      <c r="O34" s="145" t="s">
        <v>22</v>
      </c>
      <c r="P34" s="155" t="s">
        <v>437</v>
      </c>
      <c r="Q34" s="145" t="s">
        <v>22</v>
      </c>
      <c r="R34" s="147" t="s">
        <v>81</v>
      </c>
      <c r="S34" s="148" t="str">
        <f t="shared" si="3"/>
        <v>Ng.  Ngọc Khánh</v>
      </c>
      <c r="T34" s="148">
        <f t="shared" si="4"/>
        <v>65</v>
      </c>
      <c r="U34" s="148">
        <f t="shared" si="5"/>
        <v>22.592152199762189</v>
      </c>
    </row>
    <row r="35" spans="1:21" s="148" customFormat="1" ht="16.8">
      <c r="A35" s="138">
        <v>26</v>
      </c>
      <c r="B35" s="139" t="s">
        <v>435</v>
      </c>
      <c r="C35" s="140" t="s">
        <v>265</v>
      </c>
      <c r="D35" s="151">
        <v>44506</v>
      </c>
      <c r="E35" s="142"/>
      <c r="F35" s="150" t="s">
        <v>189</v>
      </c>
      <c r="G35" s="144">
        <v>14.2</v>
      </c>
      <c r="H35" s="145" t="s">
        <v>270</v>
      </c>
      <c r="I35" s="145">
        <v>105</v>
      </c>
      <c r="J35" s="145" t="s">
        <v>270</v>
      </c>
      <c r="K35" s="145" t="s">
        <v>270</v>
      </c>
      <c r="L35" s="145" t="s">
        <v>22</v>
      </c>
      <c r="M35" s="145" t="s">
        <v>22</v>
      </c>
      <c r="N35" s="145" t="s">
        <v>22</v>
      </c>
      <c r="O35" s="145" t="s">
        <v>22</v>
      </c>
      <c r="P35" s="145" t="s">
        <v>22</v>
      </c>
      <c r="Q35" s="145" t="s">
        <v>22</v>
      </c>
      <c r="R35" s="147" t="s">
        <v>23</v>
      </c>
      <c r="S35" s="148" t="str">
        <f t="shared" si="0"/>
        <v>Nguyễn Ngọc Thảo</v>
      </c>
      <c r="T35" s="148">
        <f t="shared" si="1"/>
        <v>57</v>
      </c>
      <c r="U35" s="148">
        <f t="shared" si="2"/>
        <v>12.879818594104307</v>
      </c>
    </row>
    <row r="36" spans="1:21" ht="16.8">
      <c r="A36" s="68"/>
      <c r="B36" s="74"/>
      <c r="C36" s="69"/>
      <c r="D36" s="75"/>
      <c r="E36" s="70"/>
      <c r="F36" s="70"/>
      <c r="G36" s="70"/>
      <c r="H36" s="71"/>
      <c r="I36" s="70"/>
      <c r="J36" s="94"/>
      <c r="K36" s="94"/>
      <c r="L36" s="71"/>
      <c r="M36" s="76"/>
      <c r="N36" s="71"/>
      <c r="O36" s="71"/>
      <c r="P36" s="71"/>
      <c r="Q36" s="71"/>
      <c r="R36" s="73"/>
    </row>
    <row r="37" spans="1:21" s="3" customFormat="1">
      <c r="A37" s="93"/>
      <c r="C37" s="13"/>
      <c r="D37" s="13" t="s">
        <v>24</v>
      </c>
      <c r="E37" s="13"/>
      <c r="F37" s="13"/>
      <c r="G37" s="14"/>
      <c r="H37" s="14"/>
      <c r="I37" s="14"/>
      <c r="J37" s="14"/>
      <c r="K37" s="14"/>
      <c r="L37" s="15"/>
      <c r="M37" s="15"/>
      <c r="N37" s="15"/>
      <c r="O37" s="15"/>
      <c r="P37" s="15"/>
      <c r="Q37" s="15"/>
      <c r="R37" s="14"/>
    </row>
    <row r="38" spans="1:21" s="3" customFormat="1">
      <c r="B38" s="15"/>
      <c r="C38" s="15"/>
      <c r="D38" s="15"/>
      <c r="E38" s="15"/>
      <c r="F38" s="15"/>
      <c r="G38" s="14"/>
      <c r="H38" s="14"/>
      <c r="I38" s="14"/>
      <c r="J38" s="14"/>
      <c r="K38" s="14"/>
      <c r="L38" s="15"/>
      <c r="M38" s="15"/>
      <c r="N38" s="15"/>
      <c r="O38" s="15"/>
      <c r="P38" s="15"/>
      <c r="Q38" s="15"/>
      <c r="R38" s="14"/>
    </row>
    <row r="39" spans="1:21" s="3" customFormat="1">
      <c r="A39" s="16" t="s">
        <v>25</v>
      </c>
      <c r="C39" s="15" t="s">
        <v>26</v>
      </c>
      <c r="D39" s="15"/>
      <c r="E39" s="15"/>
      <c r="F39" s="15"/>
      <c r="G39" s="14"/>
      <c r="H39" s="14"/>
      <c r="I39" s="16" t="s">
        <v>27</v>
      </c>
      <c r="J39" s="15"/>
      <c r="K39" s="15"/>
      <c r="L39" s="15" t="s">
        <v>28</v>
      </c>
      <c r="M39" s="15"/>
      <c r="N39" s="15"/>
      <c r="O39" s="15"/>
      <c r="P39" s="15"/>
      <c r="Q39" s="15"/>
      <c r="R39" s="14"/>
    </row>
    <row r="40" spans="1:21" s="3" customFormat="1">
      <c r="A40" s="16" t="s">
        <v>29</v>
      </c>
      <c r="C40" s="15" t="s">
        <v>30</v>
      </c>
      <c r="D40" s="15"/>
      <c r="E40" s="15"/>
      <c r="F40" s="15"/>
      <c r="G40" s="14"/>
      <c r="H40" s="14"/>
      <c r="I40" s="16" t="s">
        <v>31</v>
      </c>
      <c r="J40" s="15"/>
      <c r="K40" s="15"/>
      <c r="L40" s="15" t="s">
        <v>32</v>
      </c>
      <c r="M40" s="15"/>
      <c r="N40" s="15"/>
      <c r="O40" s="15"/>
      <c r="P40" s="15"/>
      <c r="Q40" s="15"/>
      <c r="R40" s="14"/>
    </row>
    <row r="41" spans="1:21" s="3" customFormat="1">
      <c r="A41" s="16" t="s">
        <v>33</v>
      </c>
      <c r="C41" s="15" t="s">
        <v>34</v>
      </c>
      <c r="D41" s="15"/>
      <c r="E41" s="15"/>
      <c r="F41" s="15"/>
      <c r="G41" s="14"/>
      <c r="H41" s="14"/>
      <c r="I41" s="16" t="s">
        <v>35</v>
      </c>
      <c r="J41" s="15"/>
      <c r="K41" s="15"/>
      <c r="L41" s="15" t="s">
        <v>36</v>
      </c>
      <c r="M41" s="15"/>
      <c r="N41" s="15"/>
      <c r="O41" s="15"/>
      <c r="P41" s="15"/>
      <c r="Q41" s="15"/>
      <c r="R41" s="14"/>
    </row>
    <row r="42" spans="1:21" s="3" customFormat="1">
      <c r="A42" s="16" t="s">
        <v>37</v>
      </c>
      <c r="C42" s="15" t="s">
        <v>38</v>
      </c>
      <c r="D42" s="15"/>
      <c r="E42" s="15"/>
      <c r="F42" s="15"/>
      <c r="G42" s="14"/>
      <c r="H42" s="14"/>
      <c r="I42" s="16" t="s">
        <v>39</v>
      </c>
      <c r="J42" s="15"/>
      <c r="K42" s="15"/>
      <c r="L42" s="15" t="s">
        <v>40</v>
      </c>
      <c r="M42" s="15"/>
      <c r="N42" s="15"/>
      <c r="O42" s="15"/>
      <c r="P42" s="15"/>
      <c r="Q42" s="15"/>
      <c r="R42" s="14"/>
    </row>
    <row r="43" spans="1:21">
      <c r="A43" s="16" t="s">
        <v>41</v>
      </c>
      <c r="C43" s="15" t="s">
        <v>42</v>
      </c>
      <c r="D43" s="15"/>
      <c r="E43" s="15"/>
      <c r="F43" s="15"/>
      <c r="G43" s="14"/>
      <c r="H43" s="14"/>
      <c r="I43" s="16" t="s">
        <v>43</v>
      </c>
      <c r="J43" s="15"/>
      <c r="K43" s="15"/>
      <c r="L43" s="15" t="s">
        <v>44</v>
      </c>
      <c r="M43" s="15"/>
      <c r="N43" s="15"/>
      <c r="O43" s="15"/>
      <c r="P43" s="15"/>
      <c r="Q43" s="15"/>
      <c r="R43" s="14"/>
    </row>
    <row r="44" spans="1:21">
      <c r="A44" s="4" t="s">
        <v>45</v>
      </c>
      <c r="C44" s="3" t="s">
        <v>46</v>
      </c>
      <c r="I44" s="5" t="s">
        <v>47</v>
      </c>
      <c r="L44" s="4" t="s">
        <v>48</v>
      </c>
    </row>
    <row r="45" spans="1:21">
      <c r="A45" s="4" t="s">
        <v>49</v>
      </c>
      <c r="C45" s="3" t="s">
        <v>50</v>
      </c>
      <c r="I45" s="5" t="s">
        <v>51</v>
      </c>
      <c r="L45" s="4" t="s">
        <v>52</v>
      </c>
    </row>
    <row r="46" spans="1:21">
      <c r="A46" s="4" t="s">
        <v>53</v>
      </c>
      <c r="C46" s="3" t="s">
        <v>54</v>
      </c>
      <c r="I46" s="5" t="s">
        <v>55</v>
      </c>
      <c r="L46" s="4" t="s">
        <v>56</v>
      </c>
    </row>
  </sheetData>
  <autoFilter ref="A9:WWA35" xr:uid="{00000000-0009-0000-0000-000001000000}">
    <filterColumn colId="1" showButton="0"/>
  </autoFilter>
  <dataConsolidate/>
  <mergeCells count="9">
    <mergeCell ref="A1:R1"/>
    <mergeCell ref="A2:R2"/>
    <mergeCell ref="A8:A9"/>
    <mergeCell ref="B8:C9"/>
    <mergeCell ref="D8:D9"/>
    <mergeCell ref="E8:F8"/>
    <mergeCell ref="G8:K8"/>
    <mergeCell ref="L8:Q8"/>
    <mergeCell ref="R8:R9"/>
  </mergeCells>
  <pageMargins left="0.70069444444444495" right="0.70069444444444495" top="0.75138888888888899" bottom="0.75138888888888899" header="0.29861111111111099" footer="0.29861111111111099"/>
  <pageSetup paperSize="9" scale="79" orientation="landscape" r:id="rId1"/>
  <colBreaks count="1" manualBreakCount="1">
    <brk id="18"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9"/>
  <dimension ref="A1:W35"/>
  <sheetViews>
    <sheetView zoomScale="68" zoomScaleNormal="68" zoomScaleSheetLayoutView="95" workbookViewId="0">
      <selection activeCell="C9" sqref="C9:C10"/>
    </sheetView>
  </sheetViews>
  <sheetFormatPr defaultColWidth="9" defaultRowHeight="13.8"/>
  <cols>
    <col min="1" max="1" width="4.44140625" style="65" customWidth="1"/>
    <col min="2" max="2" width="21.33203125" style="65" customWidth="1"/>
    <col min="3" max="3" width="8.88671875" style="65" customWidth="1"/>
    <col min="4" max="4" width="7.6640625" style="65" customWidth="1"/>
    <col min="5" max="21" width="8" style="65" bestFit="1" customWidth="1"/>
    <col min="22" max="22" width="10.6640625" style="65" customWidth="1"/>
    <col min="23" max="23" width="9.5546875" style="65" customWidth="1"/>
    <col min="24" max="257" width="9" style="65"/>
    <col min="258" max="258" width="5.5546875" style="65" customWidth="1"/>
    <col min="259" max="259" width="16.5546875" style="65" customWidth="1"/>
    <col min="260" max="260" width="8.33203125" style="65" customWidth="1"/>
    <col min="261" max="261" width="6.88671875" style="65" customWidth="1"/>
    <col min="262" max="262" width="6" style="65" customWidth="1"/>
    <col min="263" max="263" width="6.109375" style="65" customWidth="1"/>
    <col min="264" max="264" width="6.88671875" style="65" customWidth="1"/>
    <col min="265" max="266" width="5.6640625" style="65" customWidth="1"/>
    <col min="267" max="267" width="6.44140625" style="65" customWidth="1"/>
    <col min="268" max="268" width="6.109375" style="65" customWidth="1"/>
    <col min="269" max="269" width="5.33203125" style="65" customWidth="1"/>
    <col min="270" max="271" width="5.6640625" style="65" customWidth="1"/>
    <col min="272" max="272" width="6.6640625" style="65" customWidth="1"/>
    <col min="273" max="273" width="6.88671875" style="65" customWidth="1"/>
    <col min="274" max="274" width="6.44140625" style="65" customWidth="1"/>
    <col min="275" max="275" width="5.5546875" style="65" customWidth="1"/>
    <col min="276" max="276" width="5.6640625" style="65" customWidth="1"/>
    <col min="277" max="277" width="5.88671875" style="65" customWidth="1"/>
    <col min="278" max="278" width="10.6640625" style="65" customWidth="1"/>
    <col min="279" max="279" width="9.5546875" style="65" customWidth="1"/>
    <col min="280" max="513" width="9" style="65"/>
    <col min="514" max="514" width="5.5546875" style="65" customWidth="1"/>
    <col min="515" max="515" width="16.5546875" style="65" customWidth="1"/>
    <col min="516" max="516" width="8.33203125" style="65" customWidth="1"/>
    <col min="517" max="517" width="6.88671875" style="65" customWidth="1"/>
    <col min="518" max="518" width="6" style="65" customWidth="1"/>
    <col min="519" max="519" width="6.109375" style="65" customWidth="1"/>
    <col min="520" max="520" width="6.88671875" style="65" customWidth="1"/>
    <col min="521" max="522" width="5.6640625" style="65" customWidth="1"/>
    <col min="523" max="523" width="6.44140625" style="65" customWidth="1"/>
    <col min="524" max="524" width="6.109375" style="65" customWidth="1"/>
    <col min="525" max="525" width="5.33203125" style="65" customWidth="1"/>
    <col min="526" max="527" width="5.6640625" style="65" customWidth="1"/>
    <col min="528" max="528" width="6.6640625" style="65" customWidth="1"/>
    <col min="529" max="529" width="6.88671875" style="65" customWidth="1"/>
    <col min="530" max="530" width="6.44140625" style="65" customWidth="1"/>
    <col min="531" max="531" width="5.5546875" style="65" customWidth="1"/>
    <col min="532" max="532" width="5.6640625" style="65" customWidth="1"/>
    <col min="533" max="533" width="5.88671875" style="65" customWidth="1"/>
    <col min="534" max="534" width="10.6640625" style="65" customWidth="1"/>
    <col min="535" max="535" width="9.5546875" style="65" customWidth="1"/>
    <col min="536" max="769" width="9" style="65"/>
    <col min="770" max="770" width="5.5546875" style="65" customWidth="1"/>
    <col min="771" max="771" width="16.5546875" style="65" customWidth="1"/>
    <col min="772" max="772" width="8.33203125" style="65" customWidth="1"/>
    <col min="773" max="773" width="6.88671875" style="65" customWidth="1"/>
    <col min="774" max="774" width="6" style="65" customWidth="1"/>
    <col min="775" max="775" width="6.109375" style="65" customWidth="1"/>
    <col min="776" max="776" width="6.88671875" style="65" customWidth="1"/>
    <col min="777" max="778" width="5.6640625" style="65" customWidth="1"/>
    <col min="779" max="779" width="6.44140625" style="65" customWidth="1"/>
    <col min="780" max="780" width="6.109375" style="65" customWidth="1"/>
    <col min="781" max="781" width="5.33203125" style="65" customWidth="1"/>
    <col min="782" max="783" width="5.6640625" style="65" customWidth="1"/>
    <col min="784" max="784" width="6.6640625" style="65" customWidth="1"/>
    <col min="785" max="785" width="6.88671875" style="65" customWidth="1"/>
    <col min="786" max="786" width="6.44140625" style="65" customWidth="1"/>
    <col min="787" max="787" width="5.5546875" style="65" customWidth="1"/>
    <col min="788" max="788" width="5.6640625" style="65" customWidth="1"/>
    <col min="789" max="789" width="5.88671875" style="65" customWidth="1"/>
    <col min="790" max="790" width="10.6640625" style="65" customWidth="1"/>
    <col min="791" max="791" width="9.5546875" style="65" customWidth="1"/>
    <col min="792" max="1025" width="9" style="65"/>
    <col min="1026" max="1026" width="5.5546875" style="65" customWidth="1"/>
    <col min="1027" max="1027" width="16.5546875" style="65" customWidth="1"/>
    <col min="1028" max="1028" width="8.33203125" style="65" customWidth="1"/>
    <col min="1029" max="1029" width="6.88671875" style="65" customWidth="1"/>
    <col min="1030" max="1030" width="6" style="65" customWidth="1"/>
    <col min="1031" max="1031" width="6.109375" style="65" customWidth="1"/>
    <col min="1032" max="1032" width="6.88671875" style="65" customWidth="1"/>
    <col min="1033" max="1034" width="5.6640625" style="65" customWidth="1"/>
    <col min="1035" max="1035" width="6.44140625" style="65" customWidth="1"/>
    <col min="1036" max="1036" width="6.109375" style="65" customWidth="1"/>
    <col min="1037" max="1037" width="5.33203125" style="65" customWidth="1"/>
    <col min="1038" max="1039" width="5.6640625" style="65" customWidth="1"/>
    <col min="1040" max="1040" width="6.6640625" style="65" customWidth="1"/>
    <col min="1041" max="1041" width="6.88671875" style="65" customWidth="1"/>
    <col min="1042" max="1042" width="6.44140625" style="65" customWidth="1"/>
    <col min="1043" max="1043" width="5.5546875" style="65" customWidth="1"/>
    <col min="1044" max="1044" width="5.6640625" style="65" customWidth="1"/>
    <col min="1045" max="1045" width="5.88671875" style="65" customWidth="1"/>
    <col min="1046" max="1046" width="10.6640625" style="65" customWidth="1"/>
    <col min="1047" max="1047" width="9.5546875" style="65" customWidth="1"/>
    <col min="1048" max="1281" width="9" style="65"/>
    <col min="1282" max="1282" width="5.5546875" style="65" customWidth="1"/>
    <col min="1283" max="1283" width="16.5546875" style="65" customWidth="1"/>
    <col min="1284" max="1284" width="8.33203125" style="65" customWidth="1"/>
    <col min="1285" max="1285" width="6.88671875" style="65" customWidth="1"/>
    <col min="1286" max="1286" width="6" style="65" customWidth="1"/>
    <col min="1287" max="1287" width="6.109375" style="65" customWidth="1"/>
    <col min="1288" max="1288" width="6.88671875" style="65" customWidth="1"/>
    <col min="1289" max="1290" width="5.6640625" style="65" customWidth="1"/>
    <col min="1291" max="1291" width="6.44140625" style="65" customWidth="1"/>
    <col min="1292" max="1292" width="6.109375" style="65" customWidth="1"/>
    <col min="1293" max="1293" width="5.33203125" style="65" customWidth="1"/>
    <col min="1294" max="1295" width="5.6640625" style="65" customWidth="1"/>
    <col min="1296" max="1296" width="6.6640625" style="65" customWidth="1"/>
    <col min="1297" max="1297" width="6.88671875" style="65" customWidth="1"/>
    <col min="1298" max="1298" width="6.44140625" style="65" customWidth="1"/>
    <col min="1299" max="1299" width="5.5546875" style="65" customWidth="1"/>
    <col min="1300" max="1300" width="5.6640625" style="65" customWidth="1"/>
    <col min="1301" max="1301" width="5.88671875" style="65" customWidth="1"/>
    <col min="1302" max="1302" width="10.6640625" style="65" customWidth="1"/>
    <col min="1303" max="1303" width="9.5546875" style="65" customWidth="1"/>
    <col min="1304" max="1537" width="9" style="65"/>
    <col min="1538" max="1538" width="5.5546875" style="65" customWidth="1"/>
    <col min="1539" max="1539" width="16.5546875" style="65" customWidth="1"/>
    <col min="1540" max="1540" width="8.33203125" style="65" customWidth="1"/>
    <col min="1541" max="1541" width="6.88671875" style="65" customWidth="1"/>
    <col min="1542" max="1542" width="6" style="65" customWidth="1"/>
    <col min="1543" max="1543" width="6.109375" style="65" customWidth="1"/>
    <col min="1544" max="1544" width="6.88671875" style="65" customWidth="1"/>
    <col min="1545" max="1546" width="5.6640625" style="65" customWidth="1"/>
    <col min="1547" max="1547" width="6.44140625" style="65" customWidth="1"/>
    <col min="1548" max="1548" width="6.109375" style="65" customWidth="1"/>
    <col min="1549" max="1549" width="5.33203125" style="65" customWidth="1"/>
    <col min="1550" max="1551" width="5.6640625" style="65" customWidth="1"/>
    <col min="1552" max="1552" width="6.6640625" style="65" customWidth="1"/>
    <col min="1553" max="1553" width="6.88671875" style="65" customWidth="1"/>
    <col min="1554" max="1554" width="6.44140625" style="65" customWidth="1"/>
    <col min="1555" max="1555" width="5.5546875" style="65" customWidth="1"/>
    <col min="1556" max="1556" width="5.6640625" style="65" customWidth="1"/>
    <col min="1557" max="1557" width="5.88671875" style="65" customWidth="1"/>
    <col min="1558" max="1558" width="10.6640625" style="65" customWidth="1"/>
    <col min="1559" max="1559" width="9.5546875" style="65" customWidth="1"/>
    <col min="1560" max="1793" width="9" style="65"/>
    <col min="1794" max="1794" width="5.5546875" style="65" customWidth="1"/>
    <col min="1795" max="1795" width="16.5546875" style="65" customWidth="1"/>
    <col min="1796" max="1796" width="8.33203125" style="65" customWidth="1"/>
    <col min="1797" max="1797" width="6.88671875" style="65" customWidth="1"/>
    <col min="1798" max="1798" width="6" style="65" customWidth="1"/>
    <col min="1799" max="1799" width="6.109375" style="65" customWidth="1"/>
    <col min="1800" max="1800" width="6.88671875" style="65" customWidth="1"/>
    <col min="1801" max="1802" width="5.6640625" style="65" customWidth="1"/>
    <col min="1803" max="1803" width="6.44140625" style="65" customWidth="1"/>
    <col min="1804" max="1804" width="6.109375" style="65" customWidth="1"/>
    <col min="1805" max="1805" width="5.33203125" style="65" customWidth="1"/>
    <col min="1806" max="1807" width="5.6640625" style="65" customWidth="1"/>
    <col min="1808" max="1808" width="6.6640625" style="65" customWidth="1"/>
    <col min="1809" max="1809" width="6.88671875" style="65" customWidth="1"/>
    <col min="1810" max="1810" width="6.44140625" style="65" customWidth="1"/>
    <col min="1811" max="1811" width="5.5546875" style="65" customWidth="1"/>
    <col min="1812" max="1812" width="5.6640625" style="65" customWidth="1"/>
    <col min="1813" max="1813" width="5.88671875" style="65" customWidth="1"/>
    <col min="1814" max="1814" width="10.6640625" style="65" customWidth="1"/>
    <col min="1815" max="1815" width="9.5546875" style="65" customWidth="1"/>
    <col min="1816" max="2049" width="9" style="65"/>
    <col min="2050" max="2050" width="5.5546875" style="65" customWidth="1"/>
    <col min="2051" max="2051" width="16.5546875" style="65" customWidth="1"/>
    <col min="2052" max="2052" width="8.33203125" style="65" customWidth="1"/>
    <col min="2053" max="2053" width="6.88671875" style="65" customWidth="1"/>
    <col min="2054" max="2054" width="6" style="65" customWidth="1"/>
    <col min="2055" max="2055" width="6.109375" style="65" customWidth="1"/>
    <col min="2056" max="2056" width="6.88671875" style="65" customWidth="1"/>
    <col min="2057" max="2058" width="5.6640625" style="65" customWidth="1"/>
    <col min="2059" max="2059" width="6.44140625" style="65" customWidth="1"/>
    <col min="2060" max="2060" width="6.109375" style="65" customWidth="1"/>
    <col min="2061" max="2061" width="5.33203125" style="65" customWidth="1"/>
    <col min="2062" max="2063" width="5.6640625" style="65" customWidth="1"/>
    <col min="2064" max="2064" width="6.6640625" style="65" customWidth="1"/>
    <col min="2065" max="2065" width="6.88671875" style="65" customWidth="1"/>
    <col min="2066" max="2066" width="6.44140625" style="65" customWidth="1"/>
    <col min="2067" max="2067" width="5.5546875" style="65" customWidth="1"/>
    <col min="2068" max="2068" width="5.6640625" style="65" customWidth="1"/>
    <col min="2069" max="2069" width="5.88671875" style="65" customWidth="1"/>
    <col min="2070" max="2070" width="10.6640625" style="65" customWidth="1"/>
    <col min="2071" max="2071" width="9.5546875" style="65" customWidth="1"/>
    <col min="2072" max="2305" width="9" style="65"/>
    <col min="2306" max="2306" width="5.5546875" style="65" customWidth="1"/>
    <col min="2307" max="2307" width="16.5546875" style="65" customWidth="1"/>
    <col min="2308" max="2308" width="8.33203125" style="65" customWidth="1"/>
    <col min="2309" max="2309" width="6.88671875" style="65" customWidth="1"/>
    <col min="2310" max="2310" width="6" style="65" customWidth="1"/>
    <col min="2311" max="2311" width="6.109375" style="65" customWidth="1"/>
    <col min="2312" max="2312" width="6.88671875" style="65" customWidth="1"/>
    <col min="2313" max="2314" width="5.6640625" style="65" customWidth="1"/>
    <col min="2315" max="2315" width="6.44140625" style="65" customWidth="1"/>
    <col min="2316" max="2316" width="6.109375" style="65" customWidth="1"/>
    <col min="2317" max="2317" width="5.33203125" style="65" customWidth="1"/>
    <col min="2318" max="2319" width="5.6640625" style="65" customWidth="1"/>
    <col min="2320" max="2320" width="6.6640625" style="65" customWidth="1"/>
    <col min="2321" max="2321" width="6.88671875" style="65" customWidth="1"/>
    <col min="2322" max="2322" width="6.44140625" style="65" customWidth="1"/>
    <col min="2323" max="2323" width="5.5546875" style="65" customWidth="1"/>
    <col min="2324" max="2324" width="5.6640625" style="65" customWidth="1"/>
    <col min="2325" max="2325" width="5.88671875" style="65" customWidth="1"/>
    <col min="2326" max="2326" width="10.6640625" style="65" customWidth="1"/>
    <col min="2327" max="2327" width="9.5546875" style="65" customWidth="1"/>
    <col min="2328" max="2561" width="9" style="65"/>
    <col min="2562" max="2562" width="5.5546875" style="65" customWidth="1"/>
    <col min="2563" max="2563" width="16.5546875" style="65" customWidth="1"/>
    <col min="2564" max="2564" width="8.33203125" style="65" customWidth="1"/>
    <col min="2565" max="2565" width="6.88671875" style="65" customWidth="1"/>
    <col min="2566" max="2566" width="6" style="65" customWidth="1"/>
    <col min="2567" max="2567" width="6.109375" style="65" customWidth="1"/>
    <col min="2568" max="2568" width="6.88671875" style="65" customWidth="1"/>
    <col min="2569" max="2570" width="5.6640625" style="65" customWidth="1"/>
    <col min="2571" max="2571" width="6.44140625" style="65" customWidth="1"/>
    <col min="2572" max="2572" width="6.109375" style="65" customWidth="1"/>
    <col min="2573" max="2573" width="5.33203125" style="65" customWidth="1"/>
    <col min="2574" max="2575" width="5.6640625" style="65" customWidth="1"/>
    <col min="2576" max="2576" width="6.6640625" style="65" customWidth="1"/>
    <col min="2577" max="2577" width="6.88671875" style="65" customWidth="1"/>
    <col min="2578" max="2578" width="6.44140625" style="65" customWidth="1"/>
    <col min="2579" max="2579" width="5.5546875" style="65" customWidth="1"/>
    <col min="2580" max="2580" width="5.6640625" style="65" customWidth="1"/>
    <col min="2581" max="2581" width="5.88671875" style="65" customWidth="1"/>
    <col min="2582" max="2582" width="10.6640625" style="65" customWidth="1"/>
    <col min="2583" max="2583" width="9.5546875" style="65" customWidth="1"/>
    <col min="2584" max="2817" width="9" style="65"/>
    <col min="2818" max="2818" width="5.5546875" style="65" customWidth="1"/>
    <col min="2819" max="2819" width="16.5546875" style="65" customWidth="1"/>
    <col min="2820" max="2820" width="8.33203125" style="65" customWidth="1"/>
    <col min="2821" max="2821" width="6.88671875" style="65" customWidth="1"/>
    <col min="2822" max="2822" width="6" style="65" customWidth="1"/>
    <col min="2823" max="2823" width="6.109375" style="65" customWidth="1"/>
    <col min="2824" max="2824" width="6.88671875" style="65" customWidth="1"/>
    <col min="2825" max="2826" width="5.6640625" style="65" customWidth="1"/>
    <col min="2827" max="2827" width="6.44140625" style="65" customWidth="1"/>
    <col min="2828" max="2828" width="6.109375" style="65" customWidth="1"/>
    <col min="2829" max="2829" width="5.33203125" style="65" customWidth="1"/>
    <col min="2830" max="2831" width="5.6640625" style="65" customWidth="1"/>
    <col min="2832" max="2832" width="6.6640625" style="65" customWidth="1"/>
    <col min="2833" max="2833" width="6.88671875" style="65" customWidth="1"/>
    <col min="2834" max="2834" width="6.44140625" style="65" customWidth="1"/>
    <col min="2835" max="2835" width="5.5546875" style="65" customWidth="1"/>
    <col min="2836" max="2836" width="5.6640625" style="65" customWidth="1"/>
    <col min="2837" max="2837" width="5.88671875" style="65" customWidth="1"/>
    <col min="2838" max="2838" width="10.6640625" style="65" customWidth="1"/>
    <col min="2839" max="2839" width="9.5546875" style="65" customWidth="1"/>
    <col min="2840" max="3073" width="9" style="65"/>
    <col min="3074" max="3074" width="5.5546875" style="65" customWidth="1"/>
    <col min="3075" max="3075" width="16.5546875" style="65" customWidth="1"/>
    <col min="3076" max="3076" width="8.33203125" style="65" customWidth="1"/>
    <col min="3077" max="3077" width="6.88671875" style="65" customWidth="1"/>
    <col min="3078" max="3078" width="6" style="65" customWidth="1"/>
    <col min="3079" max="3079" width="6.109375" style="65" customWidth="1"/>
    <col min="3080" max="3080" width="6.88671875" style="65" customWidth="1"/>
    <col min="3081" max="3082" width="5.6640625" style="65" customWidth="1"/>
    <col min="3083" max="3083" width="6.44140625" style="65" customWidth="1"/>
    <col min="3084" max="3084" width="6.109375" style="65" customWidth="1"/>
    <col min="3085" max="3085" width="5.33203125" style="65" customWidth="1"/>
    <col min="3086" max="3087" width="5.6640625" style="65" customWidth="1"/>
    <col min="3088" max="3088" width="6.6640625" style="65" customWidth="1"/>
    <col min="3089" max="3089" width="6.88671875" style="65" customWidth="1"/>
    <col min="3090" max="3090" width="6.44140625" style="65" customWidth="1"/>
    <col min="3091" max="3091" width="5.5546875" style="65" customWidth="1"/>
    <col min="3092" max="3092" width="5.6640625" style="65" customWidth="1"/>
    <col min="3093" max="3093" width="5.88671875" style="65" customWidth="1"/>
    <col min="3094" max="3094" width="10.6640625" style="65" customWidth="1"/>
    <col min="3095" max="3095" width="9.5546875" style="65" customWidth="1"/>
    <col min="3096" max="3329" width="9" style="65"/>
    <col min="3330" max="3330" width="5.5546875" style="65" customWidth="1"/>
    <col min="3331" max="3331" width="16.5546875" style="65" customWidth="1"/>
    <col min="3332" max="3332" width="8.33203125" style="65" customWidth="1"/>
    <col min="3333" max="3333" width="6.88671875" style="65" customWidth="1"/>
    <col min="3334" max="3334" width="6" style="65" customWidth="1"/>
    <col min="3335" max="3335" width="6.109375" style="65" customWidth="1"/>
    <col min="3336" max="3336" width="6.88671875" style="65" customWidth="1"/>
    <col min="3337" max="3338" width="5.6640625" style="65" customWidth="1"/>
    <col min="3339" max="3339" width="6.44140625" style="65" customWidth="1"/>
    <col min="3340" max="3340" width="6.109375" style="65" customWidth="1"/>
    <col min="3341" max="3341" width="5.33203125" style="65" customWidth="1"/>
    <col min="3342" max="3343" width="5.6640625" style="65" customWidth="1"/>
    <col min="3344" max="3344" width="6.6640625" style="65" customWidth="1"/>
    <col min="3345" max="3345" width="6.88671875" style="65" customWidth="1"/>
    <col min="3346" max="3346" width="6.44140625" style="65" customWidth="1"/>
    <col min="3347" max="3347" width="5.5546875" style="65" customWidth="1"/>
    <col min="3348" max="3348" width="5.6640625" style="65" customWidth="1"/>
    <col min="3349" max="3349" width="5.88671875" style="65" customWidth="1"/>
    <col min="3350" max="3350" width="10.6640625" style="65" customWidth="1"/>
    <col min="3351" max="3351" width="9.5546875" style="65" customWidth="1"/>
    <col min="3352" max="3585" width="9" style="65"/>
    <col min="3586" max="3586" width="5.5546875" style="65" customWidth="1"/>
    <col min="3587" max="3587" width="16.5546875" style="65" customWidth="1"/>
    <col min="3588" max="3588" width="8.33203125" style="65" customWidth="1"/>
    <col min="3589" max="3589" width="6.88671875" style="65" customWidth="1"/>
    <col min="3590" max="3590" width="6" style="65" customWidth="1"/>
    <col min="3591" max="3591" width="6.109375" style="65" customWidth="1"/>
    <col min="3592" max="3592" width="6.88671875" style="65" customWidth="1"/>
    <col min="3593" max="3594" width="5.6640625" style="65" customWidth="1"/>
    <col min="3595" max="3595" width="6.44140625" style="65" customWidth="1"/>
    <col min="3596" max="3596" width="6.109375" style="65" customWidth="1"/>
    <col min="3597" max="3597" width="5.33203125" style="65" customWidth="1"/>
    <col min="3598" max="3599" width="5.6640625" style="65" customWidth="1"/>
    <col min="3600" max="3600" width="6.6640625" style="65" customWidth="1"/>
    <col min="3601" max="3601" width="6.88671875" style="65" customWidth="1"/>
    <col min="3602" max="3602" width="6.44140625" style="65" customWidth="1"/>
    <col min="3603" max="3603" width="5.5546875" style="65" customWidth="1"/>
    <col min="3604" max="3604" width="5.6640625" style="65" customWidth="1"/>
    <col min="3605" max="3605" width="5.88671875" style="65" customWidth="1"/>
    <col min="3606" max="3606" width="10.6640625" style="65" customWidth="1"/>
    <col min="3607" max="3607" width="9.5546875" style="65" customWidth="1"/>
    <col min="3608" max="3841" width="9" style="65"/>
    <col min="3842" max="3842" width="5.5546875" style="65" customWidth="1"/>
    <col min="3843" max="3843" width="16.5546875" style="65" customWidth="1"/>
    <col min="3844" max="3844" width="8.33203125" style="65" customWidth="1"/>
    <col min="3845" max="3845" width="6.88671875" style="65" customWidth="1"/>
    <col min="3846" max="3846" width="6" style="65" customWidth="1"/>
    <col min="3847" max="3847" width="6.109375" style="65" customWidth="1"/>
    <col min="3848" max="3848" width="6.88671875" style="65" customWidth="1"/>
    <col min="3849" max="3850" width="5.6640625" style="65" customWidth="1"/>
    <col min="3851" max="3851" width="6.44140625" style="65" customWidth="1"/>
    <col min="3852" max="3852" width="6.109375" style="65" customWidth="1"/>
    <col min="3853" max="3853" width="5.33203125" style="65" customWidth="1"/>
    <col min="3854" max="3855" width="5.6640625" style="65" customWidth="1"/>
    <col min="3856" max="3856" width="6.6640625" style="65" customWidth="1"/>
    <col min="3857" max="3857" width="6.88671875" style="65" customWidth="1"/>
    <col min="3858" max="3858" width="6.44140625" style="65" customWidth="1"/>
    <col min="3859" max="3859" width="5.5546875" style="65" customWidth="1"/>
    <col min="3860" max="3860" width="5.6640625" style="65" customWidth="1"/>
    <col min="3861" max="3861" width="5.88671875" style="65" customWidth="1"/>
    <col min="3862" max="3862" width="10.6640625" style="65" customWidth="1"/>
    <col min="3863" max="3863" width="9.5546875" style="65" customWidth="1"/>
    <col min="3864" max="4097" width="9" style="65"/>
    <col min="4098" max="4098" width="5.5546875" style="65" customWidth="1"/>
    <col min="4099" max="4099" width="16.5546875" style="65" customWidth="1"/>
    <col min="4100" max="4100" width="8.33203125" style="65" customWidth="1"/>
    <col min="4101" max="4101" width="6.88671875" style="65" customWidth="1"/>
    <col min="4102" max="4102" width="6" style="65" customWidth="1"/>
    <col min="4103" max="4103" width="6.109375" style="65" customWidth="1"/>
    <col min="4104" max="4104" width="6.88671875" style="65" customWidth="1"/>
    <col min="4105" max="4106" width="5.6640625" style="65" customWidth="1"/>
    <col min="4107" max="4107" width="6.44140625" style="65" customWidth="1"/>
    <col min="4108" max="4108" width="6.109375" style="65" customWidth="1"/>
    <col min="4109" max="4109" width="5.33203125" style="65" customWidth="1"/>
    <col min="4110" max="4111" width="5.6640625" style="65" customWidth="1"/>
    <col min="4112" max="4112" width="6.6640625" style="65" customWidth="1"/>
    <col min="4113" max="4113" width="6.88671875" style="65" customWidth="1"/>
    <col min="4114" max="4114" width="6.44140625" style="65" customWidth="1"/>
    <col min="4115" max="4115" width="5.5546875" style="65" customWidth="1"/>
    <col min="4116" max="4116" width="5.6640625" style="65" customWidth="1"/>
    <col min="4117" max="4117" width="5.88671875" style="65" customWidth="1"/>
    <col min="4118" max="4118" width="10.6640625" style="65" customWidth="1"/>
    <col min="4119" max="4119" width="9.5546875" style="65" customWidth="1"/>
    <col min="4120" max="4353" width="9" style="65"/>
    <col min="4354" max="4354" width="5.5546875" style="65" customWidth="1"/>
    <col min="4355" max="4355" width="16.5546875" style="65" customWidth="1"/>
    <col min="4356" max="4356" width="8.33203125" style="65" customWidth="1"/>
    <col min="4357" max="4357" width="6.88671875" style="65" customWidth="1"/>
    <col min="4358" max="4358" width="6" style="65" customWidth="1"/>
    <col min="4359" max="4359" width="6.109375" style="65" customWidth="1"/>
    <col min="4360" max="4360" width="6.88671875" style="65" customWidth="1"/>
    <col min="4361" max="4362" width="5.6640625" style="65" customWidth="1"/>
    <col min="4363" max="4363" width="6.44140625" style="65" customWidth="1"/>
    <col min="4364" max="4364" width="6.109375" style="65" customWidth="1"/>
    <col min="4365" max="4365" width="5.33203125" style="65" customWidth="1"/>
    <col min="4366" max="4367" width="5.6640625" style="65" customWidth="1"/>
    <col min="4368" max="4368" width="6.6640625" style="65" customWidth="1"/>
    <col min="4369" max="4369" width="6.88671875" style="65" customWidth="1"/>
    <col min="4370" max="4370" width="6.44140625" style="65" customWidth="1"/>
    <col min="4371" max="4371" width="5.5546875" style="65" customWidth="1"/>
    <col min="4372" max="4372" width="5.6640625" style="65" customWidth="1"/>
    <col min="4373" max="4373" width="5.88671875" style="65" customWidth="1"/>
    <col min="4374" max="4374" width="10.6640625" style="65" customWidth="1"/>
    <col min="4375" max="4375" width="9.5546875" style="65" customWidth="1"/>
    <col min="4376" max="4609" width="9" style="65"/>
    <col min="4610" max="4610" width="5.5546875" style="65" customWidth="1"/>
    <col min="4611" max="4611" width="16.5546875" style="65" customWidth="1"/>
    <col min="4612" max="4612" width="8.33203125" style="65" customWidth="1"/>
    <col min="4613" max="4613" width="6.88671875" style="65" customWidth="1"/>
    <col min="4614" max="4614" width="6" style="65" customWidth="1"/>
    <col min="4615" max="4615" width="6.109375" style="65" customWidth="1"/>
    <col min="4616" max="4616" width="6.88671875" style="65" customWidth="1"/>
    <col min="4617" max="4618" width="5.6640625" style="65" customWidth="1"/>
    <col min="4619" max="4619" width="6.44140625" style="65" customWidth="1"/>
    <col min="4620" max="4620" width="6.109375" style="65" customWidth="1"/>
    <col min="4621" max="4621" width="5.33203125" style="65" customWidth="1"/>
    <col min="4622" max="4623" width="5.6640625" style="65" customWidth="1"/>
    <col min="4624" max="4624" width="6.6640625" style="65" customWidth="1"/>
    <col min="4625" max="4625" width="6.88671875" style="65" customWidth="1"/>
    <col min="4626" max="4626" width="6.44140625" style="65" customWidth="1"/>
    <col min="4627" max="4627" width="5.5546875" style="65" customWidth="1"/>
    <col min="4628" max="4628" width="5.6640625" style="65" customWidth="1"/>
    <col min="4629" max="4629" width="5.88671875" style="65" customWidth="1"/>
    <col min="4630" max="4630" width="10.6640625" style="65" customWidth="1"/>
    <col min="4631" max="4631" width="9.5546875" style="65" customWidth="1"/>
    <col min="4632" max="4865" width="9" style="65"/>
    <col min="4866" max="4866" width="5.5546875" style="65" customWidth="1"/>
    <col min="4867" max="4867" width="16.5546875" style="65" customWidth="1"/>
    <col min="4868" max="4868" width="8.33203125" style="65" customWidth="1"/>
    <col min="4869" max="4869" width="6.88671875" style="65" customWidth="1"/>
    <col min="4870" max="4870" width="6" style="65" customWidth="1"/>
    <col min="4871" max="4871" width="6.109375" style="65" customWidth="1"/>
    <col min="4872" max="4872" width="6.88671875" style="65" customWidth="1"/>
    <col min="4873" max="4874" width="5.6640625" style="65" customWidth="1"/>
    <col min="4875" max="4875" width="6.44140625" style="65" customWidth="1"/>
    <col min="4876" max="4876" width="6.109375" style="65" customWidth="1"/>
    <col min="4877" max="4877" width="5.33203125" style="65" customWidth="1"/>
    <col min="4878" max="4879" width="5.6640625" style="65" customWidth="1"/>
    <col min="4880" max="4880" width="6.6640625" style="65" customWidth="1"/>
    <col min="4881" max="4881" width="6.88671875" style="65" customWidth="1"/>
    <col min="4882" max="4882" width="6.44140625" style="65" customWidth="1"/>
    <col min="4883" max="4883" width="5.5546875" style="65" customWidth="1"/>
    <col min="4884" max="4884" width="5.6640625" style="65" customWidth="1"/>
    <col min="4885" max="4885" width="5.88671875" style="65" customWidth="1"/>
    <col min="4886" max="4886" width="10.6640625" style="65" customWidth="1"/>
    <col min="4887" max="4887" width="9.5546875" style="65" customWidth="1"/>
    <col min="4888" max="5121" width="9" style="65"/>
    <col min="5122" max="5122" width="5.5546875" style="65" customWidth="1"/>
    <col min="5123" max="5123" width="16.5546875" style="65" customWidth="1"/>
    <col min="5124" max="5124" width="8.33203125" style="65" customWidth="1"/>
    <col min="5125" max="5125" width="6.88671875" style="65" customWidth="1"/>
    <col min="5126" max="5126" width="6" style="65" customWidth="1"/>
    <col min="5127" max="5127" width="6.109375" style="65" customWidth="1"/>
    <col min="5128" max="5128" width="6.88671875" style="65" customWidth="1"/>
    <col min="5129" max="5130" width="5.6640625" style="65" customWidth="1"/>
    <col min="5131" max="5131" width="6.44140625" style="65" customWidth="1"/>
    <col min="5132" max="5132" width="6.109375" style="65" customWidth="1"/>
    <col min="5133" max="5133" width="5.33203125" style="65" customWidth="1"/>
    <col min="5134" max="5135" width="5.6640625" style="65" customWidth="1"/>
    <col min="5136" max="5136" width="6.6640625" style="65" customWidth="1"/>
    <col min="5137" max="5137" width="6.88671875" style="65" customWidth="1"/>
    <col min="5138" max="5138" width="6.44140625" style="65" customWidth="1"/>
    <col min="5139" max="5139" width="5.5546875" style="65" customWidth="1"/>
    <col min="5140" max="5140" width="5.6640625" style="65" customWidth="1"/>
    <col min="5141" max="5141" width="5.88671875" style="65" customWidth="1"/>
    <col min="5142" max="5142" width="10.6640625" style="65" customWidth="1"/>
    <col min="5143" max="5143" width="9.5546875" style="65" customWidth="1"/>
    <col min="5144" max="5377" width="9" style="65"/>
    <col min="5378" max="5378" width="5.5546875" style="65" customWidth="1"/>
    <col min="5379" max="5379" width="16.5546875" style="65" customWidth="1"/>
    <col min="5380" max="5380" width="8.33203125" style="65" customWidth="1"/>
    <col min="5381" max="5381" width="6.88671875" style="65" customWidth="1"/>
    <col min="5382" max="5382" width="6" style="65" customWidth="1"/>
    <col min="5383" max="5383" width="6.109375" style="65" customWidth="1"/>
    <col min="5384" max="5384" width="6.88671875" style="65" customWidth="1"/>
    <col min="5385" max="5386" width="5.6640625" style="65" customWidth="1"/>
    <col min="5387" max="5387" width="6.44140625" style="65" customWidth="1"/>
    <col min="5388" max="5388" width="6.109375" style="65" customWidth="1"/>
    <col min="5389" max="5389" width="5.33203125" style="65" customWidth="1"/>
    <col min="5390" max="5391" width="5.6640625" style="65" customWidth="1"/>
    <col min="5392" max="5392" width="6.6640625" style="65" customWidth="1"/>
    <col min="5393" max="5393" width="6.88671875" style="65" customWidth="1"/>
    <col min="5394" max="5394" width="6.44140625" style="65" customWidth="1"/>
    <col min="5395" max="5395" width="5.5546875" style="65" customWidth="1"/>
    <col min="5396" max="5396" width="5.6640625" style="65" customWidth="1"/>
    <col min="5397" max="5397" width="5.88671875" style="65" customWidth="1"/>
    <col min="5398" max="5398" width="10.6640625" style="65" customWidth="1"/>
    <col min="5399" max="5399" width="9.5546875" style="65" customWidth="1"/>
    <col min="5400" max="5633" width="9" style="65"/>
    <col min="5634" max="5634" width="5.5546875" style="65" customWidth="1"/>
    <col min="5635" max="5635" width="16.5546875" style="65" customWidth="1"/>
    <col min="5636" max="5636" width="8.33203125" style="65" customWidth="1"/>
    <col min="5637" max="5637" width="6.88671875" style="65" customWidth="1"/>
    <col min="5638" max="5638" width="6" style="65" customWidth="1"/>
    <col min="5639" max="5639" width="6.109375" style="65" customWidth="1"/>
    <col min="5640" max="5640" width="6.88671875" style="65" customWidth="1"/>
    <col min="5641" max="5642" width="5.6640625" style="65" customWidth="1"/>
    <col min="5643" max="5643" width="6.44140625" style="65" customWidth="1"/>
    <col min="5644" max="5644" width="6.109375" style="65" customWidth="1"/>
    <col min="5645" max="5645" width="5.33203125" style="65" customWidth="1"/>
    <col min="5646" max="5647" width="5.6640625" style="65" customWidth="1"/>
    <col min="5648" max="5648" width="6.6640625" style="65" customWidth="1"/>
    <col min="5649" max="5649" width="6.88671875" style="65" customWidth="1"/>
    <col min="5650" max="5650" width="6.44140625" style="65" customWidth="1"/>
    <col min="5651" max="5651" width="5.5546875" style="65" customWidth="1"/>
    <col min="5652" max="5652" width="5.6640625" style="65" customWidth="1"/>
    <col min="5653" max="5653" width="5.88671875" style="65" customWidth="1"/>
    <col min="5654" max="5654" width="10.6640625" style="65" customWidth="1"/>
    <col min="5655" max="5655" width="9.5546875" style="65" customWidth="1"/>
    <col min="5656" max="5889" width="9" style="65"/>
    <col min="5890" max="5890" width="5.5546875" style="65" customWidth="1"/>
    <col min="5891" max="5891" width="16.5546875" style="65" customWidth="1"/>
    <col min="5892" max="5892" width="8.33203125" style="65" customWidth="1"/>
    <col min="5893" max="5893" width="6.88671875" style="65" customWidth="1"/>
    <col min="5894" max="5894" width="6" style="65" customWidth="1"/>
    <col min="5895" max="5895" width="6.109375" style="65" customWidth="1"/>
    <col min="5896" max="5896" width="6.88671875" style="65" customWidth="1"/>
    <col min="5897" max="5898" width="5.6640625" style="65" customWidth="1"/>
    <col min="5899" max="5899" width="6.44140625" style="65" customWidth="1"/>
    <col min="5900" max="5900" width="6.109375" style="65" customWidth="1"/>
    <col min="5901" max="5901" width="5.33203125" style="65" customWidth="1"/>
    <col min="5902" max="5903" width="5.6640625" style="65" customWidth="1"/>
    <col min="5904" max="5904" width="6.6640625" style="65" customWidth="1"/>
    <col min="5905" max="5905" width="6.88671875" style="65" customWidth="1"/>
    <col min="5906" max="5906" width="6.44140625" style="65" customWidth="1"/>
    <col min="5907" max="5907" width="5.5546875" style="65" customWidth="1"/>
    <col min="5908" max="5908" width="5.6640625" style="65" customWidth="1"/>
    <col min="5909" max="5909" width="5.88671875" style="65" customWidth="1"/>
    <col min="5910" max="5910" width="10.6640625" style="65" customWidth="1"/>
    <col min="5911" max="5911" width="9.5546875" style="65" customWidth="1"/>
    <col min="5912" max="6145" width="9" style="65"/>
    <col min="6146" max="6146" width="5.5546875" style="65" customWidth="1"/>
    <col min="6147" max="6147" width="16.5546875" style="65" customWidth="1"/>
    <col min="6148" max="6148" width="8.33203125" style="65" customWidth="1"/>
    <col min="6149" max="6149" width="6.88671875" style="65" customWidth="1"/>
    <col min="6150" max="6150" width="6" style="65" customWidth="1"/>
    <col min="6151" max="6151" width="6.109375" style="65" customWidth="1"/>
    <col min="6152" max="6152" width="6.88671875" style="65" customWidth="1"/>
    <col min="6153" max="6154" width="5.6640625" style="65" customWidth="1"/>
    <col min="6155" max="6155" width="6.44140625" style="65" customWidth="1"/>
    <col min="6156" max="6156" width="6.109375" style="65" customWidth="1"/>
    <col min="6157" max="6157" width="5.33203125" style="65" customWidth="1"/>
    <col min="6158" max="6159" width="5.6640625" style="65" customWidth="1"/>
    <col min="6160" max="6160" width="6.6640625" style="65" customWidth="1"/>
    <col min="6161" max="6161" width="6.88671875" style="65" customWidth="1"/>
    <col min="6162" max="6162" width="6.44140625" style="65" customWidth="1"/>
    <col min="6163" max="6163" width="5.5546875" style="65" customWidth="1"/>
    <col min="6164" max="6164" width="5.6640625" style="65" customWidth="1"/>
    <col min="6165" max="6165" width="5.88671875" style="65" customWidth="1"/>
    <col min="6166" max="6166" width="10.6640625" style="65" customWidth="1"/>
    <col min="6167" max="6167" width="9.5546875" style="65" customWidth="1"/>
    <col min="6168" max="6401" width="9" style="65"/>
    <col min="6402" max="6402" width="5.5546875" style="65" customWidth="1"/>
    <col min="6403" max="6403" width="16.5546875" style="65" customWidth="1"/>
    <col min="6404" max="6404" width="8.33203125" style="65" customWidth="1"/>
    <col min="6405" max="6405" width="6.88671875" style="65" customWidth="1"/>
    <col min="6406" max="6406" width="6" style="65" customWidth="1"/>
    <col min="6407" max="6407" width="6.109375" style="65" customWidth="1"/>
    <col min="6408" max="6408" width="6.88671875" style="65" customWidth="1"/>
    <col min="6409" max="6410" width="5.6640625" style="65" customWidth="1"/>
    <col min="6411" max="6411" width="6.44140625" style="65" customWidth="1"/>
    <col min="6412" max="6412" width="6.109375" style="65" customWidth="1"/>
    <col min="6413" max="6413" width="5.33203125" style="65" customWidth="1"/>
    <col min="6414" max="6415" width="5.6640625" style="65" customWidth="1"/>
    <col min="6416" max="6416" width="6.6640625" style="65" customWidth="1"/>
    <col min="6417" max="6417" width="6.88671875" style="65" customWidth="1"/>
    <col min="6418" max="6418" width="6.44140625" style="65" customWidth="1"/>
    <col min="6419" max="6419" width="5.5546875" style="65" customWidth="1"/>
    <col min="6420" max="6420" width="5.6640625" style="65" customWidth="1"/>
    <col min="6421" max="6421" width="5.88671875" style="65" customWidth="1"/>
    <col min="6422" max="6422" width="10.6640625" style="65" customWidth="1"/>
    <col min="6423" max="6423" width="9.5546875" style="65" customWidth="1"/>
    <col min="6424" max="6657" width="9" style="65"/>
    <col min="6658" max="6658" width="5.5546875" style="65" customWidth="1"/>
    <col min="6659" max="6659" width="16.5546875" style="65" customWidth="1"/>
    <col min="6660" max="6660" width="8.33203125" style="65" customWidth="1"/>
    <col min="6661" max="6661" width="6.88671875" style="65" customWidth="1"/>
    <col min="6662" max="6662" width="6" style="65" customWidth="1"/>
    <col min="6663" max="6663" width="6.109375" style="65" customWidth="1"/>
    <col min="6664" max="6664" width="6.88671875" style="65" customWidth="1"/>
    <col min="6665" max="6666" width="5.6640625" style="65" customWidth="1"/>
    <col min="6667" max="6667" width="6.44140625" style="65" customWidth="1"/>
    <col min="6668" max="6668" width="6.109375" style="65" customWidth="1"/>
    <col min="6669" max="6669" width="5.33203125" style="65" customWidth="1"/>
    <col min="6670" max="6671" width="5.6640625" style="65" customWidth="1"/>
    <col min="6672" max="6672" width="6.6640625" style="65" customWidth="1"/>
    <col min="6673" max="6673" width="6.88671875" style="65" customWidth="1"/>
    <col min="6674" max="6674" width="6.44140625" style="65" customWidth="1"/>
    <col min="6675" max="6675" width="5.5546875" style="65" customWidth="1"/>
    <col min="6676" max="6676" width="5.6640625" style="65" customWidth="1"/>
    <col min="6677" max="6677" width="5.88671875" style="65" customWidth="1"/>
    <col min="6678" max="6678" width="10.6640625" style="65" customWidth="1"/>
    <col min="6679" max="6679" width="9.5546875" style="65" customWidth="1"/>
    <col min="6680" max="6913" width="9" style="65"/>
    <col min="6914" max="6914" width="5.5546875" style="65" customWidth="1"/>
    <col min="6915" max="6915" width="16.5546875" style="65" customWidth="1"/>
    <col min="6916" max="6916" width="8.33203125" style="65" customWidth="1"/>
    <col min="6917" max="6917" width="6.88671875" style="65" customWidth="1"/>
    <col min="6918" max="6918" width="6" style="65" customWidth="1"/>
    <col min="6919" max="6919" width="6.109375" style="65" customWidth="1"/>
    <col min="6920" max="6920" width="6.88671875" style="65" customWidth="1"/>
    <col min="6921" max="6922" width="5.6640625" style="65" customWidth="1"/>
    <col min="6923" max="6923" width="6.44140625" style="65" customWidth="1"/>
    <col min="6924" max="6924" width="6.109375" style="65" customWidth="1"/>
    <col min="6925" max="6925" width="5.33203125" style="65" customWidth="1"/>
    <col min="6926" max="6927" width="5.6640625" style="65" customWidth="1"/>
    <col min="6928" max="6928" width="6.6640625" style="65" customWidth="1"/>
    <col min="6929" max="6929" width="6.88671875" style="65" customWidth="1"/>
    <col min="6930" max="6930" width="6.44140625" style="65" customWidth="1"/>
    <col min="6931" max="6931" width="5.5546875" style="65" customWidth="1"/>
    <col min="6932" max="6932" width="5.6640625" style="65" customWidth="1"/>
    <col min="6933" max="6933" width="5.88671875" style="65" customWidth="1"/>
    <col min="6934" max="6934" width="10.6640625" style="65" customWidth="1"/>
    <col min="6935" max="6935" width="9.5546875" style="65" customWidth="1"/>
    <col min="6936" max="7169" width="9" style="65"/>
    <col min="7170" max="7170" width="5.5546875" style="65" customWidth="1"/>
    <col min="7171" max="7171" width="16.5546875" style="65" customWidth="1"/>
    <col min="7172" max="7172" width="8.33203125" style="65" customWidth="1"/>
    <col min="7173" max="7173" width="6.88671875" style="65" customWidth="1"/>
    <col min="7174" max="7174" width="6" style="65" customWidth="1"/>
    <col min="7175" max="7175" width="6.109375" style="65" customWidth="1"/>
    <col min="7176" max="7176" width="6.88671875" style="65" customWidth="1"/>
    <col min="7177" max="7178" width="5.6640625" style="65" customWidth="1"/>
    <col min="7179" max="7179" width="6.44140625" style="65" customWidth="1"/>
    <col min="7180" max="7180" width="6.109375" style="65" customWidth="1"/>
    <col min="7181" max="7181" width="5.33203125" style="65" customWidth="1"/>
    <col min="7182" max="7183" width="5.6640625" style="65" customWidth="1"/>
    <col min="7184" max="7184" width="6.6640625" style="65" customWidth="1"/>
    <col min="7185" max="7185" width="6.88671875" style="65" customWidth="1"/>
    <col min="7186" max="7186" width="6.44140625" style="65" customWidth="1"/>
    <col min="7187" max="7187" width="5.5546875" style="65" customWidth="1"/>
    <col min="7188" max="7188" width="5.6640625" style="65" customWidth="1"/>
    <col min="7189" max="7189" width="5.88671875" style="65" customWidth="1"/>
    <col min="7190" max="7190" width="10.6640625" style="65" customWidth="1"/>
    <col min="7191" max="7191" width="9.5546875" style="65" customWidth="1"/>
    <col min="7192" max="7425" width="9" style="65"/>
    <col min="7426" max="7426" width="5.5546875" style="65" customWidth="1"/>
    <col min="7427" max="7427" width="16.5546875" style="65" customWidth="1"/>
    <col min="7428" max="7428" width="8.33203125" style="65" customWidth="1"/>
    <col min="7429" max="7429" width="6.88671875" style="65" customWidth="1"/>
    <col min="7430" max="7430" width="6" style="65" customWidth="1"/>
    <col min="7431" max="7431" width="6.109375" style="65" customWidth="1"/>
    <col min="7432" max="7432" width="6.88671875" style="65" customWidth="1"/>
    <col min="7433" max="7434" width="5.6640625" style="65" customWidth="1"/>
    <col min="7435" max="7435" width="6.44140625" style="65" customWidth="1"/>
    <col min="7436" max="7436" width="6.109375" style="65" customWidth="1"/>
    <col min="7437" max="7437" width="5.33203125" style="65" customWidth="1"/>
    <col min="7438" max="7439" width="5.6640625" style="65" customWidth="1"/>
    <col min="7440" max="7440" width="6.6640625" style="65" customWidth="1"/>
    <col min="7441" max="7441" width="6.88671875" style="65" customWidth="1"/>
    <col min="7442" max="7442" width="6.44140625" style="65" customWidth="1"/>
    <col min="7443" max="7443" width="5.5546875" style="65" customWidth="1"/>
    <col min="7444" max="7444" width="5.6640625" style="65" customWidth="1"/>
    <col min="7445" max="7445" width="5.88671875" style="65" customWidth="1"/>
    <col min="7446" max="7446" width="10.6640625" style="65" customWidth="1"/>
    <col min="7447" max="7447" width="9.5546875" style="65" customWidth="1"/>
    <col min="7448" max="7681" width="9" style="65"/>
    <col min="7682" max="7682" width="5.5546875" style="65" customWidth="1"/>
    <col min="7683" max="7683" width="16.5546875" style="65" customWidth="1"/>
    <col min="7684" max="7684" width="8.33203125" style="65" customWidth="1"/>
    <col min="7685" max="7685" width="6.88671875" style="65" customWidth="1"/>
    <col min="7686" max="7686" width="6" style="65" customWidth="1"/>
    <col min="7687" max="7687" width="6.109375" style="65" customWidth="1"/>
    <col min="7688" max="7688" width="6.88671875" style="65" customWidth="1"/>
    <col min="7689" max="7690" width="5.6640625" style="65" customWidth="1"/>
    <col min="7691" max="7691" width="6.44140625" style="65" customWidth="1"/>
    <col min="7692" max="7692" width="6.109375" style="65" customWidth="1"/>
    <col min="7693" max="7693" width="5.33203125" style="65" customWidth="1"/>
    <col min="7694" max="7695" width="5.6640625" style="65" customWidth="1"/>
    <col min="7696" max="7696" width="6.6640625" style="65" customWidth="1"/>
    <col min="7697" max="7697" width="6.88671875" style="65" customWidth="1"/>
    <col min="7698" max="7698" width="6.44140625" style="65" customWidth="1"/>
    <col min="7699" max="7699" width="5.5546875" style="65" customWidth="1"/>
    <col min="7700" max="7700" width="5.6640625" style="65" customWidth="1"/>
    <col min="7701" max="7701" width="5.88671875" style="65" customWidth="1"/>
    <col min="7702" max="7702" width="10.6640625" style="65" customWidth="1"/>
    <col min="7703" max="7703" width="9.5546875" style="65" customWidth="1"/>
    <col min="7704" max="7937" width="9" style="65"/>
    <col min="7938" max="7938" width="5.5546875" style="65" customWidth="1"/>
    <col min="7939" max="7939" width="16.5546875" style="65" customWidth="1"/>
    <col min="7940" max="7940" width="8.33203125" style="65" customWidth="1"/>
    <col min="7941" max="7941" width="6.88671875" style="65" customWidth="1"/>
    <col min="7942" max="7942" width="6" style="65" customWidth="1"/>
    <col min="7943" max="7943" width="6.109375" style="65" customWidth="1"/>
    <col min="7944" max="7944" width="6.88671875" style="65" customWidth="1"/>
    <col min="7945" max="7946" width="5.6640625" style="65" customWidth="1"/>
    <col min="7947" max="7947" width="6.44140625" style="65" customWidth="1"/>
    <col min="7948" max="7948" width="6.109375" style="65" customWidth="1"/>
    <col min="7949" max="7949" width="5.33203125" style="65" customWidth="1"/>
    <col min="7950" max="7951" width="5.6640625" style="65" customWidth="1"/>
    <col min="7952" max="7952" width="6.6640625" style="65" customWidth="1"/>
    <col min="7953" max="7953" width="6.88671875" style="65" customWidth="1"/>
    <col min="7954" max="7954" width="6.44140625" style="65" customWidth="1"/>
    <col min="7955" max="7955" width="5.5546875" style="65" customWidth="1"/>
    <col min="7956" max="7956" width="5.6640625" style="65" customWidth="1"/>
    <col min="7957" max="7957" width="5.88671875" style="65" customWidth="1"/>
    <col min="7958" max="7958" width="10.6640625" style="65" customWidth="1"/>
    <col min="7959" max="7959" width="9.5546875" style="65" customWidth="1"/>
    <col min="7960" max="8193" width="9" style="65"/>
    <col min="8194" max="8194" width="5.5546875" style="65" customWidth="1"/>
    <col min="8195" max="8195" width="16.5546875" style="65" customWidth="1"/>
    <col min="8196" max="8196" width="8.33203125" style="65" customWidth="1"/>
    <col min="8197" max="8197" width="6.88671875" style="65" customWidth="1"/>
    <col min="8198" max="8198" width="6" style="65" customWidth="1"/>
    <col min="8199" max="8199" width="6.109375" style="65" customWidth="1"/>
    <col min="8200" max="8200" width="6.88671875" style="65" customWidth="1"/>
    <col min="8201" max="8202" width="5.6640625" style="65" customWidth="1"/>
    <col min="8203" max="8203" width="6.44140625" style="65" customWidth="1"/>
    <col min="8204" max="8204" width="6.109375" style="65" customWidth="1"/>
    <col min="8205" max="8205" width="5.33203125" style="65" customWidth="1"/>
    <col min="8206" max="8207" width="5.6640625" style="65" customWidth="1"/>
    <col min="8208" max="8208" width="6.6640625" style="65" customWidth="1"/>
    <col min="8209" max="8209" width="6.88671875" style="65" customWidth="1"/>
    <col min="8210" max="8210" width="6.44140625" style="65" customWidth="1"/>
    <col min="8211" max="8211" width="5.5546875" style="65" customWidth="1"/>
    <col min="8212" max="8212" width="5.6640625" style="65" customWidth="1"/>
    <col min="8213" max="8213" width="5.88671875" style="65" customWidth="1"/>
    <col min="8214" max="8214" width="10.6640625" style="65" customWidth="1"/>
    <col min="8215" max="8215" width="9.5546875" style="65" customWidth="1"/>
    <col min="8216" max="8449" width="9" style="65"/>
    <col min="8450" max="8450" width="5.5546875" style="65" customWidth="1"/>
    <col min="8451" max="8451" width="16.5546875" style="65" customWidth="1"/>
    <col min="8452" max="8452" width="8.33203125" style="65" customWidth="1"/>
    <col min="8453" max="8453" width="6.88671875" style="65" customWidth="1"/>
    <col min="8454" max="8454" width="6" style="65" customWidth="1"/>
    <col min="8455" max="8455" width="6.109375" style="65" customWidth="1"/>
    <col min="8456" max="8456" width="6.88671875" style="65" customWidth="1"/>
    <col min="8457" max="8458" width="5.6640625" style="65" customWidth="1"/>
    <col min="8459" max="8459" width="6.44140625" style="65" customWidth="1"/>
    <col min="8460" max="8460" width="6.109375" style="65" customWidth="1"/>
    <col min="8461" max="8461" width="5.33203125" style="65" customWidth="1"/>
    <col min="8462" max="8463" width="5.6640625" style="65" customWidth="1"/>
    <col min="8464" max="8464" width="6.6640625" style="65" customWidth="1"/>
    <col min="8465" max="8465" width="6.88671875" style="65" customWidth="1"/>
    <col min="8466" max="8466" width="6.44140625" style="65" customWidth="1"/>
    <col min="8467" max="8467" width="5.5546875" style="65" customWidth="1"/>
    <col min="8468" max="8468" width="5.6640625" style="65" customWidth="1"/>
    <col min="8469" max="8469" width="5.88671875" style="65" customWidth="1"/>
    <col min="8470" max="8470" width="10.6640625" style="65" customWidth="1"/>
    <col min="8471" max="8471" width="9.5546875" style="65" customWidth="1"/>
    <col min="8472" max="8705" width="9" style="65"/>
    <col min="8706" max="8706" width="5.5546875" style="65" customWidth="1"/>
    <col min="8707" max="8707" width="16.5546875" style="65" customWidth="1"/>
    <col min="8708" max="8708" width="8.33203125" style="65" customWidth="1"/>
    <col min="8709" max="8709" width="6.88671875" style="65" customWidth="1"/>
    <col min="8710" max="8710" width="6" style="65" customWidth="1"/>
    <col min="8711" max="8711" width="6.109375" style="65" customWidth="1"/>
    <col min="8712" max="8712" width="6.88671875" style="65" customWidth="1"/>
    <col min="8713" max="8714" width="5.6640625" style="65" customWidth="1"/>
    <col min="8715" max="8715" width="6.44140625" style="65" customWidth="1"/>
    <col min="8716" max="8716" width="6.109375" style="65" customWidth="1"/>
    <col min="8717" max="8717" width="5.33203125" style="65" customWidth="1"/>
    <col min="8718" max="8719" width="5.6640625" style="65" customWidth="1"/>
    <col min="8720" max="8720" width="6.6640625" style="65" customWidth="1"/>
    <col min="8721" max="8721" width="6.88671875" style="65" customWidth="1"/>
    <col min="8722" max="8722" width="6.44140625" style="65" customWidth="1"/>
    <col min="8723" max="8723" width="5.5546875" style="65" customWidth="1"/>
    <col min="8724" max="8724" width="5.6640625" style="65" customWidth="1"/>
    <col min="8725" max="8725" width="5.88671875" style="65" customWidth="1"/>
    <col min="8726" max="8726" width="10.6640625" style="65" customWidth="1"/>
    <col min="8727" max="8727" width="9.5546875" style="65" customWidth="1"/>
    <col min="8728" max="8961" width="9" style="65"/>
    <col min="8962" max="8962" width="5.5546875" style="65" customWidth="1"/>
    <col min="8963" max="8963" width="16.5546875" style="65" customWidth="1"/>
    <col min="8964" max="8964" width="8.33203125" style="65" customWidth="1"/>
    <col min="8965" max="8965" width="6.88671875" style="65" customWidth="1"/>
    <col min="8966" max="8966" width="6" style="65" customWidth="1"/>
    <col min="8967" max="8967" width="6.109375" style="65" customWidth="1"/>
    <col min="8968" max="8968" width="6.88671875" style="65" customWidth="1"/>
    <col min="8969" max="8970" width="5.6640625" style="65" customWidth="1"/>
    <col min="8971" max="8971" width="6.44140625" style="65" customWidth="1"/>
    <col min="8972" max="8972" width="6.109375" style="65" customWidth="1"/>
    <col min="8973" max="8973" width="5.33203125" style="65" customWidth="1"/>
    <col min="8974" max="8975" width="5.6640625" style="65" customWidth="1"/>
    <col min="8976" max="8976" width="6.6640625" style="65" customWidth="1"/>
    <col min="8977" max="8977" width="6.88671875" style="65" customWidth="1"/>
    <col min="8978" max="8978" width="6.44140625" style="65" customWidth="1"/>
    <col min="8979" max="8979" width="5.5546875" style="65" customWidth="1"/>
    <col min="8980" max="8980" width="5.6640625" style="65" customWidth="1"/>
    <col min="8981" max="8981" width="5.88671875" style="65" customWidth="1"/>
    <col min="8982" max="8982" width="10.6640625" style="65" customWidth="1"/>
    <col min="8983" max="8983" width="9.5546875" style="65" customWidth="1"/>
    <col min="8984" max="9217" width="9" style="65"/>
    <col min="9218" max="9218" width="5.5546875" style="65" customWidth="1"/>
    <col min="9219" max="9219" width="16.5546875" style="65" customWidth="1"/>
    <col min="9220" max="9220" width="8.33203125" style="65" customWidth="1"/>
    <col min="9221" max="9221" width="6.88671875" style="65" customWidth="1"/>
    <col min="9222" max="9222" width="6" style="65" customWidth="1"/>
    <col min="9223" max="9223" width="6.109375" style="65" customWidth="1"/>
    <col min="9224" max="9224" width="6.88671875" style="65" customWidth="1"/>
    <col min="9225" max="9226" width="5.6640625" style="65" customWidth="1"/>
    <col min="9227" max="9227" width="6.44140625" style="65" customWidth="1"/>
    <col min="9228" max="9228" width="6.109375" style="65" customWidth="1"/>
    <col min="9229" max="9229" width="5.33203125" style="65" customWidth="1"/>
    <col min="9230" max="9231" width="5.6640625" style="65" customWidth="1"/>
    <col min="9232" max="9232" width="6.6640625" style="65" customWidth="1"/>
    <col min="9233" max="9233" width="6.88671875" style="65" customWidth="1"/>
    <col min="9234" max="9234" width="6.44140625" style="65" customWidth="1"/>
    <col min="9235" max="9235" width="5.5546875" style="65" customWidth="1"/>
    <col min="9236" max="9236" width="5.6640625" style="65" customWidth="1"/>
    <col min="9237" max="9237" width="5.88671875" style="65" customWidth="1"/>
    <col min="9238" max="9238" width="10.6640625" style="65" customWidth="1"/>
    <col min="9239" max="9239" width="9.5546875" style="65" customWidth="1"/>
    <col min="9240" max="9473" width="9" style="65"/>
    <col min="9474" max="9474" width="5.5546875" style="65" customWidth="1"/>
    <col min="9475" max="9475" width="16.5546875" style="65" customWidth="1"/>
    <col min="9476" max="9476" width="8.33203125" style="65" customWidth="1"/>
    <col min="9477" max="9477" width="6.88671875" style="65" customWidth="1"/>
    <col min="9478" max="9478" width="6" style="65" customWidth="1"/>
    <col min="9479" max="9479" width="6.109375" style="65" customWidth="1"/>
    <col min="9480" max="9480" width="6.88671875" style="65" customWidth="1"/>
    <col min="9481" max="9482" width="5.6640625" style="65" customWidth="1"/>
    <col min="9483" max="9483" width="6.44140625" style="65" customWidth="1"/>
    <col min="9484" max="9484" width="6.109375" style="65" customWidth="1"/>
    <col min="9485" max="9485" width="5.33203125" style="65" customWidth="1"/>
    <col min="9486" max="9487" width="5.6640625" style="65" customWidth="1"/>
    <col min="9488" max="9488" width="6.6640625" style="65" customWidth="1"/>
    <col min="9489" max="9489" width="6.88671875" style="65" customWidth="1"/>
    <col min="9490" max="9490" width="6.44140625" style="65" customWidth="1"/>
    <col min="9491" max="9491" width="5.5546875" style="65" customWidth="1"/>
    <col min="9492" max="9492" width="5.6640625" style="65" customWidth="1"/>
    <col min="9493" max="9493" width="5.88671875" style="65" customWidth="1"/>
    <col min="9494" max="9494" width="10.6640625" style="65" customWidth="1"/>
    <col min="9495" max="9495" width="9.5546875" style="65" customWidth="1"/>
    <col min="9496" max="9729" width="9" style="65"/>
    <col min="9730" max="9730" width="5.5546875" style="65" customWidth="1"/>
    <col min="9731" max="9731" width="16.5546875" style="65" customWidth="1"/>
    <col min="9732" max="9732" width="8.33203125" style="65" customWidth="1"/>
    <col min="9733" max="9733" width="6.88671875" style="65" customWidth="1"/>
    <col min="9734" max="9734" width="6" style="65" customWidth="1"/>
    <col min="9735" max="9735" width="6.109375" style="65" customWidth="1"/>
    <col min="9736" max="9736" width="6.88671875" style="65" customWidth="1"/>
    <col min="9737" max="9738" width="5.6640625" style="65" customWidth="1"/>
    <col min="9739" max="9739" width="6.44140625" style="65" customWidth="1"/>
    <col min="9740" max="9740" width="6.109375" style="65" customWidth="1"/>
    <col min="9741" max="9741" width="5.33203125" style="65" customWidth="1"/>
    <col min="9742" max="9743" width="5.6640625" style="65" customWidth="1"/>
    <col min="9744" max="9744" width="6.6640625" style="65" customWidth="1"/>
    <col min="9745" max="9745" width="6.88671875" style="65" customWidth="1"/>
    <col min="9746" max="9746" width="6.44140625" style="65" customWidth="1"/>
    <col min="9747" max="9747" width="5.5546875" style="65" customWidth="1"/>
    <col min="9748" max="9748" width="5.6640625" style="65" customWidth="1"/>
    <col min="9749" max="9749" width="5.88671875" style="65" customWidth="1"/>
    <col min="9750" max="9750" width="10.6640625" style="65" customWidth="1"/>
    <col min="9751" max="9751" width="9.5546875" style="65" customWidth="1"/>
    <col min="9752" max="9985" width="9" style="65"/>
    <col min="9986" max="9986" width="5.5546875" style="65" customWidth="1"/>
    <col min="9987" max="9987" width="16.5546875" style="65" customWidth="1"/>
    <col min="9988" max="9988" width="8.33203125" style="65" customWidth="1"/>
    <col min="9989" max="9989" width="6.88671875" style="65" customWidth="1"/>
    <col min="9990" max="9990" width="6" style="65" customWidth="1"/>
    <col min="9991" max="9991" width="6.109375" style="65" customWidth="1"/>
    <col min="9992" max="9992" width="6.88671875" style="65" customWidth="1"/>
    <col min="9993" max="9994" width="5.6640625" style="65" customWidth="1"/>
    <col min="9995" max="9995" width="6.44140625" style="65" customWidth="1"/>
    <col min="9996" max="9996" width="6.109375" style="65" customWidth="1"/>
    <col min="9997" max="9997" width="5.33203125" style="65" customWidth="1"/>
    <col min="9998" max="9999" width="5.6640625" style="65" customWidth="1"/>
    <col min="10000" max="10000" width="6.6640625" style="65" customWidth="1"/>
    <col min="10001" max="10001" width="6.88671875" style="65" customWidth="1"/>
    <col min="10002" max="10002" width="6.44140625" style="65" customWidth="1"/>
    <col min="10003" max="10003" width="5.5546875" style="65" customWidth="1"/>
    <col min="10004" max="10004" width="5.6640625" style="65" customWidth="1"/>
    <col min="10005" max="10005" width="5.88671875" style="65" customWidth="1"/>
    <col min="10006" max="10006" width="10.6640625" style="65" customWidth="1"/>
    <col min="10007" max="10007" width="9.5546875" style="65" customWidth="1"/>
    <col min="10008" max="10241" width="9" style="65"/>
    <col min="10242" max="10242" width="5.5546875" style="65" customWidth="1"/>
    <col min="10243" max="10243" width="16.5546875" style="65" customWidth="1"/>
    <col min="10244" max="10244" width="8.33203125" style="65" customWidth="1"/>
    <col min="10245" max="10245" width="6.88671875" style="65" customWidth="1"/>
    <col min="10246" max="10246" width="6" style="65" customWidth="1"/>
    <col min="10247" max="10247" width="6.109375" style="65" customWidth="1"/>
    <col min="10248" max="10248" width="6.88671875" style="65" customWidth="1"/>
    <col min="10249" max="10250" width="5.6640625" style="65" customWidth="1"/>
    <col min="10251" max="10251" width="6.44140625" style="65" customWidth="1"/>
    <col min="10252" max="10252" width="6.109375" style="65" customWidth="1"/>
    <col min="10253" max="10253" width="5.33203125" style="65" customWidth="1"/>
    <col min="10254" max="10255" width="5.6640625" style="65" customWidth="1"/>
    <col min="10256" max="10256" width="6.6640625" style="65" customWidth="1"/>
    <col min="10257" max="10257" width="6.88671875" style="65" customWidth="1"/>
    <col min="10258" max="10258" width="6.44140625" style="65" customWidth="1"/>
    <col min="10259" max="10259" width="5.5546875" style="65" customWidth="1"/>
    <col min="10260" max="10260" width="5.6640625" style="65" customWidth="1"/>
    <col min="10261" max="10261" width="5.88671875" style="65" customWidth="1"/>
    <col min="10262" max="10262" width="10.6640625" style="65" customWidth="1"/>
    <col min="10263" max="10263" width="9.5546875" style="65" customWidth="1"/>
    <col min="10264" max="10497" width="9" style="65"/>
    <col min="10498" max="10498" width="5.5546875" style="65" customWidth="1"/>
    <col min="10499" max="10499" width="16.5546875" style="65" customWidth="1"/>
    <col min="10500" max="10500" width="8.33203125" style="65" customWidth="1"/>
    <col min="10501" max="10501" width="6.88671875" style="65" customWidth="1"/>
    <col min="10502" max="10502" width="6" style="65" customWidth="1"/>
    <col min="10503" max="10503" width="6.109375" style="65" customWidth="1"/>
    <col min="10504" max="10504" width="6.88671875" style="65" customWidth="1"/>
    <col min="10505" max="10506" width="5.6640625" style="65" customWidth="1"/>
    <col min="10507" max="10507" width="6.44140625" style="65" customWidth="1"/>
    <col min="10508" max="10508" width="6.109375" style="65" customWidth="1"/>
    <col min="10509" max="10509" width="5.33203125" style="65" customWidth="1"/>
    <col min="10510" max="10511" width="5.6640625" style="65" customWidth="1"/>
    <col min="10512" max="10512" width="6.6640625" style="65" customWidth="1"/>
    <col min="10513" max="10513" width="6.88671875" style="65" customWidth="1"/>
    <col min="10514" max="10514" width="6.44140625" style="65" customWidth="1"/>
    <col min="10515" max="10515" width="5.5546875" style="65" customWidth="1"/>
    <col min="10516" max="10516" width="5.6640625" style="65" customWidth="1"/>
    <col min="10517" max="10517" width="5.88671875" style="65" customWidth="1"/>
    <col min="10518" max="10518" width="10.6640625" style="65" customWidth="1"/>
    <col min="10519" max="10519" width="9.5546875" style="65" customWidth="1"/>
    <col min="10520" max="10753" width="9" style="65"/>
    <col min="10754" max="10754" width="5.5546875" style="65" customWidth="1"/>
    <col min="10755" max="10755" width="16.5546875" style="65" customWidth="1"/>
    <col min="10756" max="10756" width="8.33203125" style="65" customWidth="1"/>
    <col min="10757" max="10757" width="6.88671875" style="65" customWidth="1"/>
    <col min="10758" max="10758" width="6" style="65" customWidth="1"/>
    <col min="10759" max="10759" width="6.109375" style="65" customWidth="1"/>
    <col min="10760" max="10760" width="6.88671875" style="65" customWidth="1"/>
    <col min="10761" max="10762" width="5.6640625" style="65" customWidth="1"/>
    <col min="10763" max="10763" width="6.44140625" style="65" customWidth="1"/>
    <col min="10764" max="10764" width="6.109375" style="65" customWidth="1"/>
    <col min="10765" max="10765" width="5.33203125" style="65" customWidth="1"/>
    <col min="10766" max="10767" width="5.6640625" style="65" customWidth="1"/>
    <col min="10768" max="10768" width="6.6640625" style="65" customWidth="1"/>
    <col min="10769" max="10769" width="6.88671875" style="65" customWidth="1"/>
    <col min="10770" max="10770" width="6.44140625" style="65" customWidth="1"/>
    <col min="10771" max="10771" width="5.5546875" style="65" customWidth="1"/>
    <col min="10772" max="10772" width="5.6640625" style="65" customWidth="1"/>
    <col min="10773" max="10773" width="5.88671875" style="65" customWidth="1"/>
    <col min="10774" max="10774" width="10.6640625" style="65" customWidth="1"/>
    <col min="10775" max="10775" width="9.5546875" style="65" customWidth="1"/>
    <col min="10776" max="11009" width="9" style="65"/>
    <col min="11010" max="11010" width="5.5546875" style="65" customWidth="1"/>
    <col min="11011" max="11011" width="16.5546875" style="65" customWidth="1"/>
    <col min="11012" max="11012" width="8.33203125" style="65" customWidth="1"/>
    <col min="11013" max="11013" width="6.88671875" style="65" customWidth="1"/>
    <col min="11014" max="11014" width="6" style="65" customWidth="1"/>
    <col min="11015" max="11015" width="6.109375" style="65" customWidth="1"/>
    <col min="11016" max="11016" width="6.88671875" style="65" customWidth="1"/>
    <col min="11017" max="11018" width="5.6640625" style="65" customWidth="1"/>
    <col min="11019" max="11019" width="6.44140625" style="65" customWidth="1"/>
    <col min="11020" max="11020" width="6.109375" style="65" customWidth="1"/>
    <col min="11021" max="11021" width="5.33203125" style="65" customWidth="1"/>
    <col min="11022" max="11023" width="5.6640625" style="65" customWidth="1"/>
    <col min="11024" max="11024" width="6.6640625" style="65" customWidth="1"/>
    <col min="11025" max="11025" width="6.88671875" style="65" customWidth="1"/>
    <col min="11026" max="11026" width="6.44140625" style="65" customWidth="1"/>
    <col min="11027" max="11027" width="5.5546875" style="65" customWidth="1"/>
    <col min="11028" max="11028" width="5.6640625" style="65" customWidth="1"/>
    <col min="11029" max="11029" width="5.88671875" style="65" customWidth="1"/>
    <col min="11030" max="11030" width="10.6640625" style="65" customWidth="1"/>
    <col min="11031" max="11031" width="9.5546875" style="65" customWidth="1"/>
    <col min="11032" max="11265" width="9" style="65"/>
    <col min="11266" max="11266" width="5.5546875" style="65" customWidth="1"/>
    <col min="11267" max="11267" width="16.5546875" style="65" customWidth="1"/>
    <col min="11268" max="11268" width="8.33203125" style="65" customWidth="1"/>
    <col min="11269" max="11269" width="6.88671875" style="65" customWidth="1"/>
    <col min="11270" max="11270" width="6" style="65" customWidth="1"/>
    <col min="11271" max="11271" width="6.109375" style="65" customWidth="1"/>
    <col min="11272" max="11272" width="6.88671875" style="65" customWidth="1"/>
    <col min="11273" max="11274" width="5.6640625" style="65" customWidth="1"/>
    <col min="11275" max="11275" width="6.44140625" style="65" customWidth="1"/>
    <col min="11276" max="11276" width="6.109375" style="65" customWidth="1"/>
    <col min="11277" max="11277" width="5.33203125" style="65" customWidth="1"/>
    <col min="11278" max="11279" width="5.6640625" style="65" customWidth="1"/>
    <col min="11280" max="11280" width="6.6640625" style="65" customWidth="1"/>
    <col min="11281" max="11281" width="6.88671875" style="65" customWidth="1"/>
    <col min="11282" max="11282" width="6.44140625" style="65" customWidth="1"/>
    <col min="11283" max="11283" width="5.5546875" style="65" customWidth="1"/>
    <col min="11284" max="11284" width="5.6640625" style="65" customWidth="1"/>
    <col min="11285" max="11285" width="5.88671875" style="65" customWidth="1"/>
    <col min="11286" max="11286" width="10.6640625" style="65" customWidth="1"/>
    <col min="11287" max="11287" width="9.5546875" style="65" customWidth="1"/>
    <col min="11288" max="11521" width="9" style="65"/>
    <col min="11522" max="11522" width="5.5546875" style="65" customWidth="1"/>
    <col min="11523" max="11523" width="16.5546875" style="65" customWidth="1"/>
    <col min="11524" max="11524" width="8.33203125" style="65" customWidth="1"/>
    <col min="11525" max="11525" width="6.88671875" style="65" customWidth="1"/>
    <col min="11526" max="11526" width="6" style="65" customWidth="1"/>
    <col min="11527" max="11527" width="6.109375" style="65" customWidth="1"/>
    <col min="11528" max="11528" width="6.88671875" style="65" customWidth="1"/>
    <col min="11529" max="11530" width="5.6640625" style="65" customWidth="1"/>
    <col min="11531" max="11531" width="6.44140625" style="65" customWidth="1"/>
    <col min="11532" max="11532" width="6.109375" style="65" customWidth="1"/>
    <col min="11533" max="11533" width="5.33203125" style="65" customWidth="1"/>
    <col min="11534" max="11535" width="5.6640625" style="65" customWidth="1"/>
    <col min="11536" max="11536" width="6.6640625" style="65" customWidth="1"/>
    <col min="11537" max="11537" width="6.88671875" style="65" customWidth="1"/>
    <col min="11538" max="11538" width="6.44140625" style="65" customWidth="1"/>
    <col min="11539" max="11539" width="5.5546875" style="65" customWidth="1"/>
    <col min="11540" max="11540" width="5.6640625" style="65" customWidth="1"/>
    <col min="11541" max="11541" width="5.88671875" style="65" customWidth="1"/>
    <col min="11542" max="11542" width="10.6640625" style="65" customWidth="1"/>
    <col min="11543" max="11543" width="9.5546875" style="65" customWidth="1"/>
    <col min="11544" max="11777" width="9" style="65"/>
    <col min="11778" max="11778" width="5.5546875" style="65" customWidth="1"/>
    <col min="11779" max="11779" width="16.5546875" style="65" customWidth="1"/>
    <col min="11780" max="11780" width="8.33203125" style="65" customWidth="1"/>
    <col min="11781" max="11781" width="6.88671875" style="65" customWidth="1"/>
    <col min="11782" max="11782" width="6" style="65" customWidth="1"/>
    <col min="11783" max="11783" width="6.109375" style="65" customWidth="1"/>
    <col min="11784" max="11784" width="6.88671875" style="65" customWidth="1"/>
    <col min="11785" max="11786" width="5.6640625" style="65" customWidth="1"/>
    <col min="11787" max="11787" width="6.44140625" style="65" customWidth="1"/>
    <col min="11788" max="11788" width="6.109375" style="65" customWidth="1"/>
    <col min="11789" max="11789" width="5.33203125" style="65" customWidth="1"/>
    <col min="11790" max="11791" width="5.6640625" style="65" customWidth="1"/>
    <col min="11792" max="11792" width="6.6640625" style="65" customWidth="1"/>
    <col min="11793" max="11793" width="6.88671875" style="65" customWidth="1"/>
    <col min="11794" max="11794" width="6.44140625" style="65" customWidth="1"/>
    <col min="11795" max="11795" width="5.5546875" style="65" customWidth="1"/>
    <col min="11796" max="11796" width="5.6640625" style="65" customWidth="1"/>
    <col min="11797" max="11797" width="5.88671875" style="65" customWidth="1"/>
    <col min="11798" max="11798" width="10.6640625" style="65" customWidth="1"/>
    <col min="11799" max="11799" width="9.5546875" style="65" customWidth="1"/>
    <col min="11800" max="12033" width="9" style="65"/>
    <col min="12034" max="12034" width="5.5546875" style="65" customWidth="1"/>
    <col min="12035" max="12035" width="16.5546875" style="65" customWidth="1"/>
    <col min="12036" max="12036" width="8.33203125" style="65" customWidth="1"/>
    <col min="12037" max="12037" width="6.88671875" style="65" customWidth="1"/>
    <col min="12038" max="12038" width="6" style="65" customWidth="1"/>
    <col min="12039" max="12039" width="6.109375" style="65" customWidth="1"/>
    <col min="12040" max="12040" width="6.88671875" style="65" customWidth="1"/>
    <col min="12041" max="12042" width="5.6640625" style="65" customWidth="1"/>
    <col min="12043" max="12043" width="6.44140625" style="65" customWidth="1"/>
    <col min="12044" max="12044" width="6.109375" style="65" customWidth="1"/>
    <col min="12045" max="12045" width="5.33203125" style="65" customWidth="1"/>
    <col min="12046" max="12047" width="5.6640625" style="65" customWidth="1"/>
    <col min="12048" max="12048" width="6.6640625" style="65" customWidth="1"/>
    <col min="12049" max="12049" width="6.88671875" style="65" customWidth="1"/>
    <col min="12050" max="12050" width="6.44140625" style="65" customWidth="1"/>
    <col min="12051" max="12051" width="5.5546875" style="65" customWidth="1"/>
    <col min="12052" max="12052" width="5.6640625" style="65" customWidth="1"/>
    <col min="12053" max="12053" width="5.88671875" style="65" customWidth="1"/>
    <col min="12054" max="12054" width="10.6640625" style="65" customWidth="1"/>
    <col min="12055" max="12055" width="9.5546875" style="65" customWidth="1"/>
    <col min="12056" max="12289" width="9" style="65"/>
    <col min="12290" max="12290" width="5.5546875" style="65" customWidth="1"/>
    <col min="12291" max="12291" width="16.5546875" style="65" customWidth="1"/>
    <col min="12292" max="12292" width="8.33203125" style="65" customWidth="1"/>
    <col min="12293" max="12293" width="6.88671875" style="65" customWidth="1"/>
    <col min="12294" max="12294" width="6" style="65" customWidth="1"/>
    <col min="12295" max="12295" width="6.109375" style="65" customWidth="1"/>
    <col min="12296" max="12296" width="6.88671875" style="65" customWidth="1"/>
    <col min="12297" max="12298" width="5.6640625" style="65" customWidth="1"/>
    <col min="12299" max="12299" width="6.44140625" style="65" customWidth="1"/>
    <col min="12300" max="12300" width="6.109375" style="65" customWidth="1"/>
    <col min="12301" max="12301" width="5.33203125" style="65" customWidth="1"/>
    <col min="12302" max="12303" width="5.6640625" style="65" customWidth="1"/>
    <col min="12304" max="12304" width="6.6640625" style="65" customWidth="1"/>
    <col min="12305" max="12305" width="6.88671875" style="65" customWidth="1"/>
    <col min="12306" max="12306" width="6.44140625" style="65" customWidth="1"/>
    <col min="12307" max="12307" width="5.5546875" style="65" customWidth="1"/>
    <col min="12308" max="12308" width="5.6640625" style="65" customWidth="1"/>
    <col min="12309" max="12309" width="5.88671875" style="65" customWidth="1"/>
    <col min="12310" max="12310" width="10.6640625" style="65" customWidth="1"/>
    <col min="12311" max="12311" width="9.5546875" style="65" customWidth="1"/>
    <col min="12312" max="12545" width="9" style="65"/>
    <col min="12546" max="12546" width="5.5546875" style="65" customWidth="1"/>
    <col min="12547" max="12547" width="16.5546875" style="65" customWidth="1"/>
    <col min="12548" max="12548" width="8.33203125" style="65" customWidth="1"/>
    <col min="12549" max="12549" width="6.88671875" style="65" customWidth="1"/>
    <col min="12550" max="12550" width="6" style="65" customWidth="1"/>
    <col min="12551" max="12551" width="6.109375" style="65" customWidth="1"/>
    <col min="12552" max="12552" width="6.88671875" style="65" customWidth="1"/>
    <col min="12553" max="12554" width="5.6640625" style="65" customWidth="1"/>
    <col min="12555" max="12555" width="6.44140625" style="65" customWidth="1"/>
    <col min="12556" max="12556" width="6.109375" style="65" customWidth="1"/>
    <col min="12557" max="12557" width="5.33203125" style="65" customWidth="1"/>
    <col min="12558" max="12559" width="5.6640625" style="65" customWidth="1"/>
    <col min="12560" max="12560" width="6.6640625" style="65" customWidth="1"/>
    <col min="12561" max="12561" width="6.88671875" style="65" customWidth="1"/>
    <col min="12562" max="12562" width="6.44140625" style="65" customWidth="1"/>
    <col min="12563" max="12563" width="5.5546875" style="65" customWidth="1"/>
    <col min="12564" max="12564" width="5.6640625" style="65" customWidth="1"/>
    <col min="12565" max="12565" width="5.88671875" style="65" customWidth="1"/>
    <col min="12566" max="12566" width="10.6640625" style="65" customWidth="1"/>
    <col min="12567" max="12567" width="9.5546875" style="65" customWidth="1"/>
    <col min="12568" max="12801" width="9" style="65"/>
    <col min="12802" max="12802" width="5.5546875" style="65" customWidth="1"/>
    <col min="12803" max="12803" width="16.5546875" style="65" customWidth="1"/>
    <col min="12804" max="12804" width="8.33203125" style="65" customWidth="1"/>
    <col min="12805" max="12805" width="6.88671875" style="65" customWidth="1"/>
    <col min="12806" max="12806" width="6" style="65" customWidth="1"/>
    <col min="12807" max="12807" width="6.109375" style="65" customWidth="1"/>
    <col min="12808" max="12808" width="6.88671875" style="65" customWidth="1"/>
    <col min="12809" max="12810" width="5.6640625" style="65" customWidth="1"/>
    <col min="12811" max="12811" width="6.44140625" style="65" customWidth="1"/>
    <col min="12812" max="12812" width="6.109375" style="65" customWidth="1"/>
    <col min="12813" max="12813" width="5.33203125" style="65" customWidth="1"/>
    <col min="12814" max="12815" width="5.6640625" style="65" customWidth="1"/>
    <col min="12816" max="12816" width="6.6640625" style="65" customWidth="1"/>
    <col min="12817" max="12817" width="6.88671875" style="65" customWidth="1"/>
    <col min="12818" max="12818" width="6.44140625" style="65" customWidth="1"/>
    <col min="12819" max="12819" width="5.5546875" style="65" customWidth="1"/>
    <col min="12820" max="12820" width="5.6640625" style="65" customWidth="1"/>
    <col min="12821" max="12821" width="5.88671875" style="65" customWidth="1"/>
    <col min="12822" max="12822" width="10.6640625" style="65" customWidth="1"/>
    <col min="12823" max="12823" width="9.5546875" style="65" customWidth="1"/>
    <col min="12824" max="13057" width="9" style="65"/>
    <col min="13058" max="13058" width="5.5546875" style="65" customWidth="1"/>
    <col min="13059" max="13059" width="16.5546875" style="65" customWidth="1"/>
    <col min="13060" max="13060" width="8.33203125" style="65" customWidth="1"/>
    <col min="13061" max="13061" width="6.88671875" style="65" customWidth="1"/>
    <col min="13062" max="13062" width="6" style="65" customWidth="1"/>
    <col min="13063" max="13063" width="6.109375" style="65" customWidth="1"/>
    <col min="13064" max="13064" width="6.88671875" style="65" customWidth="1"/>
    <col min="13065" max="13066" width="5.6640625" style="65" customWidth="1"/>
    <col min="13067" max="13067" width="6.44140625" style="65" customWidth="1"/>
    <col min="13068" max="13068" width="6.109375" style="65" customWidth="1"/>
    <col min="13069" max="13069" width="5.33203125" style="65" customWidth="1"/>
    <col min="13070" max="13071" width="5.6640625" style="65" customWidth="1"/>
    <col min="13072" max="13072" width="6.6640625" style="65" customWidth="1"/>
    <col min="13073" max="13073" width="6.88671875" style="65" customWidth="1"/>
    <col min="13074" max="13074" width="6.44140625" style="65" customWidth="1"/>
    <col min="13075" max="13075" width="5.5546875" style="65" customWidth="1"/>
    <col min="13076" max="13076" width="5.6640625" style="65" customWidth="1"/>
    <col min="13077" max="13077" width="5.88671875" style="65" customWidth="1"/>
    <col min="13078" max="13078" width="10.6640625" style="65" customWidth="1"/>
    <col min="13079" max="13079" width="9.5546875" style="65" customWidth="1"/>
    <col min="13080" max="13313" width="9" style="65"/>
    <col min="13314" max="13314" width="5.5546875" style="65" customWidth="1"/>
    <col min="13315" max="13315" width="16.5546875" style="65" customWidth="1"/>
    <col min="13316" max="13316" width="8.33203125" style="65" customWidth="1"/>
    <col min="13317" max="13317" width="6.88671875" style="65" customWidth="1"/>
    <col min="13318" max="13318" width="6" style="65" customWidth="1"/>
    <col min="13319" max="13319" width="6.109375" style="65" customWidth="1"/>
    <col min="13320" max="13320" width="6.88671875" style="65" customWidth="1"/>
    <col min="13321" max="13322" width="5.6640625" style="65" customWidth="1"/>
    <col min="13323" max="13323" width="6.44140625" style="65" customWidth="1"/>
    <col min="13324" max="13324" width="6.109375" style="65" customWidth="1"/>
    <col min="13325" max="13325" width="5.33203125" style="65" customWidth="1"/>
    <col min="13326" max="13327" width="5.6640625" style="65" customWidth="1"/>
    <col min="13328" max="13328" width="6.6640625" style="65" customWidth="1"/>
    <col min="13329" max="13329" width="6.88671875" style="65" customWidth="1"/>
    <col min="13330" max="13330" width="6.44140625" style="65" customWidth="1"/>
    <col min="13331" max="13331" width="5.5546875" style="65" customWidth="1"/>
    <col min="13332" max="13332" width="5.6640625" style="65" customWidth="1"/>
    <col min="13333" max="13333" width="5.88671875" style="65" customWidth="1"/>
    <col min="13334" max="13334" width="10.6640625" style="65" customWidth="1"/>
    <col min="13335" max="13335" width="9.5546875" style="65" customWidth="1"/>
    <col min="13336" max="13569" width="9" style="65"/>
    <col min="13570" max="13570" width="5.5546875" style="65" customWidth="1"/>
    <col min="13571" max="13571" width="16.5546875" style="65" customWidth="1"/>
    <col min="13572" max="13572" width="8.33203125" style="65" customWidth="1"/>
    <col min="13573" max="13573" width="6.88671875" style="65" customWidth="1"/>
    <col min="13574" max="13574" width="6" style="65" customWidth="1"/>
    <col min="13575" max="13575" width="6.109375" style="65" customWidth="1"/>
    <col min="13576" max="13576" width="6.88671875" style="65" customWidth="1"/>
    <col min="13577" max="13578" width="5.6640625" style="65" customWidth="1"/>
    <col min="13579" max="13579" width="6.44140625" style="65" customWidth="1"/>
    <col min="13580" max="13580" width="6.109375" style="65" customWidth="1"/>
    <col min="13581" max="13581" width="5.33203125" style="65" customWidth="1"/>
    <col min="13582" max="13583" width="5.6640625" style="65" customWidth="1"/>
    <col min="13584" max="13584" width="6.6640625" style="65" customWidth="1"/>
    <col min="13585" max="13585" width="6.88671875" style="65" customWidth="1"/>
    <col min="13586" max="13586" width="6.44140625" style="65" customWidth="1"/>
    <col min="13587" max="13587" width="5.5546875" style="65" customWidth="1"/>
    <col min="13588" max="13588" width="5.6640625" style="65" customWidth="1"/>
    <col min="13589" max="13589" width="5.88671875" style="65" customWidth="1"/>
    <col min="13590" max="13590" width="10.6640625" style="65" customWidth="1"/>
    <col min="13591" max="13591" width="9.5546875" style="65" customWidth="1"/>
    <col min="13592" max="13825" width="9" style="65"/>
    <col min="13826" max="13826" width="5.5546875" style="65" customWidth="1"/>
    <col min="13827" max="13827" width="16.5546875" style="65" customWidth="1"/>
    <col min="13828" max="13828" width="8.33203125" style="65" customWidth="1"/>
    <col min="13829" max="13829" width="6.88671875" style="65" customWidth="1"/>
    <col min="13830" max="13830" width="6" style="65" customWidth="1"/>
    <col min="13831" max="13831" width="6.109375" style="65" customWidth="1"/>
    <col min="13832" max="13832" width="6.88671875" style="65" customWidth="1"/>
    <col min="13833" max="13834" width="5.6640625" style="65" customWidth="1"/>
    <col min="13835" max="13835" width="6.44140625" style="65" customWidth="1"/>
    <col min="13836" max="13836" width="6.109375" style="65" customWidth="1"/>
    <col min="13837" max="13837" width="5.33203125" style="65" customWidth="1"/>
    <col min="13838" max="13839" width="5.6640625" style="65" customWidth="1"/>
    <col min="13840" max="13840" width="6.6640625" style="65" customWidth="1"/>
    <col min="13841" max="13841" width="6.88671875" style="65" customWidth="1"/>
    <col min="13842" max="13842" width="6.44140625" style="65" customWidth="1"/>
    <col min="13843" max="13843" width="5.5546875" style="65" customWidth="1"/>
    <col min="13844" max="13844" width="5.6640625" style="65" customWidth="1"/>
    <col min="13845" max="13845" width="5.88671875" style="65" customWidth="1"/>
    <col min="13846" max="13846" width="10.6640625" style="65" customWidth="1"/>
    <col min="13847" max="13847" width="9.5546875" style="65" customWidth="1"/>
    <col min="13848" max="14081" width="9" style="65"/>
    <col min="14082" max="14082" width="5.5546875" style="65" customWidth="1"/>
    <col min="14083" max="14083" width="16.5546875" style="65" customWidth="1"/>
    <col min="14084" max="14084" width="8.33203125" style="65" customWidth="1"/>
    <col min="14085" max="14085" width="6.88671875" style="65" customWidth="1"/>
    <col min="14086" max="14086" width="6" style="65" customWidth="1"/>
    <col min="14087" max="14087" width="6.109375" style="65" customWidth="1"/>
    <col min="14088" max="14088" width="6.88671875" style="65" customWidth="1"/>
    <col min="14089" max="14090" width="5.6640625" style="65" customWidth="1"/>
    <col min="14091" max="14091" width="6.44140625" style="65" customWidth="1"/>
    <col min="14092" max="14092" width="6.109375" style="65" customWidth="1"/>
    <col min="14093" max="14093" width="5.33203125" style="65" customWidth="1"/>
    <col min="14094" max="14095" width="5.6640625" style="65" customWidth="1"/>
    <col min="14096" max="14096" width="6.6640625" style="65" customWidth="1"/>
    <col min="14097" max="14097" width="6.88671875" style="65" customWidth="1"/>
    <col min="14098" max="14098" width="6.44140625" style="65" customWidth="1"/>
    <col min="14099" max="14099" width="5.5546875" style="65" customWidth="1"/>
    <col min="14100" max="14100" width="5.6640625" style="65" customWidth="1"/>
    <col min="14101" max="14101" width="5.88671875" style="65" customWidth="1"/>
    <col min="14102" max="14102" width="10.6640625" style="65" customWidth="1"/>
    <col min="14103" max="14103" width="9.5546875" style="65" customWidth="1"/>
    <col min="14104" max="14337" width="9" style="65"/>
    <col min="14338" max="14338" width="5.5546875" style="65" customWidth="1"/>
    <col min="14339" max="14339" width="16.5546875" style="65" customWidth="1"/>
    <col min="14340" max="14340" width="8.33203125" style="65" customWidth="1"/>
    <col min="14341" max="14341" width="6.88671875" style="65" customWidth="1"/>
    <col min="14342" max="14342" width="6" style="65" customWidth="1"/>
    <col min="14343" max="14343" width="6.109375" style="65" customWidth="1"/>
    <col min="14344" max="14344" width="6.88671875" style="65" customWidth="1"/>
    <col min="14345" max="14346" width="5.6640625" style="65" customWidth="1"/>
    <col min="14347" max="14347" width="6.44140625" style="65" customWidth="1"/>
    <col min="14348" max="14348" width="6.109375" style="65" customWidth="1"/>
    <col min="14349" max="14349" width="5.33203125" style="65" customWidth="1"/>
    <col min="14350" max="14351" width="5.6640625" style="65" customWidth="1"/>
    <col min="14352" max="14352" width="6.6640625" style="65" customWidth="1"/>
    <col min="14353" max="14353" width="6.88671875" style="65" customWidth="1"/>
    <col min="14354" max="14354" width="6.44140625" style="65" customWidth="1"/>
    <col min="14355" max="14355" width="5.5546875" style="65" customWidth="1"/>
    <col min="14356" max="14356" width="5.6640625" style="65" customWidth="1"/>
    <col min="14357" max="14357" width="5.88671875" style="65" customWidth="1"/>
    <col min="14358" max="14358" width="10.6640625" style="65" customWidth="1"/>
    <col min="14359" max="14359" width="9.5546875" style="65" customWidth="1"/>
    <col min="14360" max="14593" width="9" style="65"/>
    <col min="14594" max="14594" width="5.5546875" style="65" customWidth="1"/>
    <col min="14595" max="14595" width="16.5546875" style="65" customWidth="1"/>
    <col min="14596" max="14596" width="8.33203125" style="65" customWidth="1"/>
    <col min="14597" max="14597" width="6.88671875" style="65" customWidth="1"/>
    <col min="14598" max="14598" width="6" style="65" customWidth="1"/>
    <col min="14599" max="14599" width="6.109375" style="65" customWidth="1"/>
    <col min="14600" max="14600" width="6.88671875" style="65" customWidth="1"/>
    <col min="14601" max="14602" width="5.6640625" style="65" customWidth="1"/>
    <col min="14603" max="14603" width="6.44140625" style="65" customWidth="1"/>
    <col min="14604" max="14604" width="6.109375" style="65" customWidth="1"/>
    <col min="14605" max="14605" width="5.33203125" style="65" customWidth="1"/>
    <col min="14606" max="14607" width="5.6640625" style="65" customWidth="1"/>
    <col min="14608" max="14608" width="6.6640625" style="65" customWidth="1"/>
    <col min="14609" max="14609" width="6.88671875" style="65" customWidth="1"/>
    <col min="14610" max="14610" width="6.44140625" style="65" customWidth="1"/>
    <col min="14611" max="14611" width="5.5546875" style="65" customWidth="1"/>
    <col min="14612" max="14612" width="5.6640625" style="65" customWidth="1"/>
    <col min="14613" max="14613" width="5.88671875" style="65" customWidth="1"/>
    <col min="14614" max="14614" width="10.6640625" style="65" customWidth="1"/>
    <col min="14615" max="14615" width="9.5546875" style="65" customWidth="1"/>
    <col min="14616" max="14849" width="9" style="65"/>
    <col min="14850" max="14850" width="5.5546875" style="65" customWidth="1"/>
    <col min="14851" max="14851" width="16.5546875" style="65" customWidth="1"/>
    <col min="14852" max="14852" width="8.33203125" style="65" customWidth="1"/>
    <col min="14853" max="14853" width="6.88671875" style="65" customWidth="1"/>
    <col min="14854" max="14854" width="6" style="65" customWidth="1"/>
    <col min="14855" max="14855" width="6.109375" style="65" customWidth="1"/>
    <col min="14856" max="14856" width="6.88671875" style="65" customWidth="1"/>
    <col min="14857" max="14858" width="5.6640625" style="65" customWidth="1"/>
    <col min="14859" max="14859" width="6.44140625" style="65" customWidth="1"/>
    <col min="14860" max="14860" width="6.109375" style="65" customWidth="1"/>
    <col min="14861" max="14861" width="5.33203125" style="65" customWidth="1"/>
    <col min="14862" max="14863" width="5.6640625" style="65" customWidth="1"/>
    <col min="14864" max="14864" width="6.6640625" style="65" customWidth="1"/>
    <col min="14865" max="14865" width="6.88671875" style="65" customWidth="1"/>
    <col min="14866" max="14866" width="6.44140625" style="65" customWidth="1"/>
    <col min="14867" max="14867" width="5.5546875" style="65" customWidth="1"/>
    <col min="14868" max="14868" width="5.6640625" style="65" customWidth="1"/>
    <col min="14869" max="14869" width="5.88671875" style="65" customWidth="1"/>
    <col min="14870" max="14870" width="10.6640625" style="65" customWidth="1"/>
    <col min="14871" max="14871" width="9.5546875" style="65" customWidth="1"/>
    <col min="14872" max="15105" width="9" style="65"/>
    <col min="15106" max="15106" width="5.5546875" style="65" customWidth="1"/>
    <col min="15107" max="15107" width="16.5546875" style="65" customWidth="1"/>
    <col min="15108" max="15108" width="8.33203125" style="65" customWidth="1"/>
    <col min="15109" max="15109" width="6.88671875" style="65" customWidth="1"/>
    <col min="15110" max="15110" width="6" style="65" customWidth="1"/>
    <col min="15111" max="15111" width="6.109375" style="65" customWidth="1"/>
    <col min="15112" max="15112" width="6.88671875" style="65" customWidth="1"/>
    <col min="15113" max="15114" width="5.6640625" style="65" customWidth="1"/>
    <col min="15115" max="15115" width="6.44140625" style="65" customWidth="1"/>
    <col min="15116" max="15116" width="6.109375" style="65" customWidth="1"/>
    <col min="15117" max="15117" width="5.33203125" style="65" customWidth="1"/>
    <col min="15118" max="15119" width="5.6640625" style="65" customWidth="1"/>
    <col min="15120" max="15120" width="6.6640625" style="65" customWidth="1"/>
    <col min="15121" max="15121" width="6.88671875" style="65" customWidth="1"/>
    <col min="15122" max="15122" width="6.44140625" style="65" customWidth="1"/>
    <col min="15123" max="15123" width="5.5546875" style="65" customWidth="1"/>
    <col min="15124" max="15124" width="5.6640625" style="65" customWidth="1"/>
    <col min="15125" max="15125" width="5.88671875" style="65" customWidth="1"/>
    <col min="15126" max="15126" width="10.6640625" style="65" customWidth="1"/>
    <col min="15127" max="15127" width="9.5546875" style="65" customWidth="1"/>
    <col min="15128" max="15361" width="9" style="65"/>
    <col min="15362" max="15362" width="5.5546875" style="65" customWidth="1"/>
    <col min="15363" max="15363" width="16.5546875" style="65" customWidth="1"/>
    <col min="15364" max="15364" width="8.33203125" style="65" customWidth="1"/>
    <col min="15365" max="15365" width="6.88671875" style="65" customWidth="1"/>
    <col min="15366" max="15366" width="6" style="65" customWidth="1"/>
    <col min="15367" max="15367" width="6.109375" style="65" customWidth="1"/>
    <col min="15368" max="15368" width="6.88671875" style="65" customWidth="1"/>
    <col min="15369" max="15370" width="5.6640625" style="65" customWidth="1"/>
    <col min="15371" max="15371" width="6.44140625" style="65" customWidth="1"/>
    <col min="15372" max="15372" width="6.109375" style="65" customWidth="1"/>
    <col min="15373" max="15373" width="5.33203125" style="65" customWidth="1"/>
    <col min="15374" max="15375" width="5.6640625" style="65" customWidth="1"/>
    <col min="15376" max="15376" width="6.6640625" style="65" customWidth="1"/>
    <col min="15377" max="15377" width="6.88671875" style="65" customWidth="1"/>
    <col min="15378" max="15378" width="6.44140625" style="65" customWidth="1"/>
    <col min="15379" max="15379" width="5.5546875" style="65" customWidth="1"/>
    <col min="15380" max="15380" width="5.6640625" style="65" customWidth="1"/>
    <col min="15381" max="15381" width="5.88671875" style="65" customWidth="1"/>
    <col min="15382" max="15382" width="10.6640625" style="65" customWidth="1"/>
    <col min="15383" max="15383" width="9.5546875" style="65" customWidth="1"/>
    <col min="15384" max="15617" width="9" style="65"/>
    <col min="15618" max="15618" width="5.5546875" style="65" customWidth="1"/>
    <col min="15619" max="15619" width="16.5546875" style="65" customWidth="1"/>
    <col min="15620" max="15620" width="8.33203125" style="65" customWidth="1"/>
    <col min="15621" max="15621" width="6.88671875" style="65" customWidth="1"/>
    <col min="15622" max="15622" width="6" style="65" customWidth="1"/>
    <col min="15623" max="15623" width="6.109375" style="65" customWidth="1"/>
    <col min="15624" max="15624" width="6.88671875" style="65" customWidth="1"/>
    <col min="15625" max="15626" width="5.6640625" style="65" customWidth="1"/>
    <col min="15627" max="15627" width="6.44140625" style="65" customWidth="1"/>
    <col min="15628" max="15628" width="6.109375" style="65" customWidth="1"/>
    <col min="15629" max="15629" width="5.33203125" style="65" customWidth="1"/>
    <col min="15630" max="15631" width="5.6640625" style="65" customWidth="1"/>
    <col min="15632" max="15632" width="6.6640625" style="65" customWidth="1"/>
    <col min="15633" max="15633" width="6.88671875" style="65" customWidth="1"/>
    <col min="15634" max="15634" width="6.44140625" style="65" customWidth="1"/>
    <col min="15635" max="15635" width="5.5546875" style="65" customWidth="1"/>
    <col min="15636" max="15636" width="5.6640625" style="65" customWidth="1"/>
    <col min="15637" max="15637" width="5.88671875" style="65" customWidth="1"/>
    <col min="15638" max="15638" width="10.6640625" style="65" customWidth="1"/>
    <col min="15639" max="15639" width="9.5546875" style="65" customWidth="1"/>
    <col min="15640" max="15873" width="9" style="65"/>
    <col min="15874" max="15874" width="5.5546875" style="65" customWidth="1"/>
    <col min="15875" max="15875" width="16.5546875" style="65" customWidth="1"/>
    <col min="15876" max="15876" width="8.33203125" style="65" customWidth="1"/>
    <col min="15877" max="15877" width="6.88671875" style="65" customWidth="1"/>
    <col min="15878" max="15878" width="6" style="65" customWidth="1"/>
    <col min="15879" max="15879" width="6.109375" style="65" customWidth="1"/>
    <col min="15880" max="15880" width="6.88671875" style="65" customWidth="1"/>
    <col min="15881" max="15882" width="5.6640625" style="65" customWidth="1"/>
    <col min="15883" max="15883" width="6.44140625" style="65" customWidth="1"/>
    <col min="15884" max="15884" width="6.109375" style="65" customWidth="1"/>
    <col min="15885" max="15885" width="5.33203125" style="65" customWidth="1"/>
    <col min="15886" max="15887" width="5.6640625" style="65" customWidth="1"/>
    <col min="15888" max="15888" width="6.6640625" style="65" customWidth="1"/>
    <col min="15889" max="15889" width="6.88671875" style="65" customWidth="1"/>
    <col min="15890" max="15890" width="6.44140625" style="65" customWidth="1"/>
    <col min="15891" max="15891" width="5.5546875" style="65" customWidth="1"/>
    <col min="15892" max="15892" width="5.6640625" style="65" customWidth="1"/>
    <col min="15893" max="15893" width="5.88671875" style="65" customWidth="1"/>
    <col min="15894" max="15894" width="10.6640625" style="65" customWidth="1"/>
    <col min="15895" max="15895" width="9.5546875" style="65" customWidth="1"/>
    <col min="15896" max="16129" width="9" style="65"/>
    <col min="16130" max="16130" width="5.5546875" style="65" customWidth="1"/>
    <col min="16131" max="16131" width="16.5546875" style="65" customWidth="1"/>
    <col min="16132" max="16132" width="8.33203125" style="65" customWidth="1"/>
    <col min="16133" max="16133" width="6.88671875" style="65" customWidth="1"/>
    <col min="16134" max="16134" width="6" style="65" customWidth="1"/>
    <col min="16135" max="16135" width="6.109375" style="65" customWidth="1"/>
    <col min="16136" max="16136" width="6.88671875" style="65" customWidth="1"/>
    <col min="16137" max="16138" width="5.6640625" style="65" customWidth="1"/>
    <col min="16139" max="16139" width="6.44140625" style="65" customWidth="1"/>
    <col min="16140" max="16140" width="6.109375" style="65" customWidth="1"/>
    <col min="16141" max="16141" width="5.33203125" style="65" customWidth="1"/>
    <col min="16142" max="16143" width="5.6640625" style="65" customWidth="1"/>
    <col min="16144" max="16144" width="6.6640625" style="65" customWidth="1"/>
    <col min="16145" max="16145" width="6.88671875" style="65" customWidth="1"/>
    <col min="16146" max="16146" width="6.44140625" style="65" customWidth="1"/>
    <col min="16147" max="16147" width="5.5546875" style="65" customWidth="1"/>
    <col min="16148" max="16148" width="5.6640625" style="65" customWidth="1"/>
    <col min="16149" max="16149" width="5.88671875" style="65" customWidth="1"/>
    <col min="16150" max="16150" width="10.6640625" style="65" customWidth="1"/>
    <col min="16151" max="16151" width="9.5546875" style="65" customWidth="1"/>
    <col min="16152" max="16384" width="9" style="65"/>
  </cols>
  <sheetData>
    <row r="1" spans="1:23" ht="15.6">
      <c r="A1" s="109" t="s">
        <v>58</v>
      </c>
      <c r="B1" s="110"/>
      <c r="C1" s="110"/>
      <c r="D1" s="110"/>
      <c r="E1" s="15"/>
      <c r="F1" s="15"/>
      <c r="G1" s="15"/>
      <c r="H1" s="15"/>
      <c r="I1" s="15"/>
      <c r="J1" s="15"/>
      <c r="L1" s="111" t="s">
        <v>59</v>
      </c>
      <c r="M1" s="111"/>
      <c r="N1" s="111"/>
      <c r="O1" s="111"/>
      <c r="P1" s="111"/>
      <c r="Q1" s="111"/>
      <c r="R1" s="111"/>
      <c r="S1" s="111"/>
      <c r="T1" s="111"/>
      <c r="U1" s="111"/>
      <c r="V1" s="13"/>
      <c r="W1" s="13"/>
    </row>
    <row r="2" spans="1:23" ht="34.950000000000003" customHeight="1">
      <c r="A2" s="112" t="s">
        <v>60</v>
      </c>
      <c r="B2" s="113"/>
      <c r="C2" s="113"/>
      <c r="D2" s="113"/>
      <c r="E2" s="18"/>
      <c r="F2" s="18"/>
      <c r="G2" s="18"/>
      <c r="H2" s="19"/>
      <c r="I2" s="19"/>
      <c r="J2" s="19"/>
      <c r="L2" s="114" t="s">
        <v>61</v>
      </c>
      <c r="M2" s="114"/>
      <c r="N2" s="114"/>
      <c r="O2" s="114"/>
      <c r="P2" s="114"/>
      <c r="Q2" s="114"/>
      <c r="R2" s="114"/>
      <c r="S2" s="114"/>
      <c r="T2" s="114"/>
      <c r="U2" s="114"/>
      <c r="V2" s="26"/>
      <c r="W2" s="26"/>
    </row>
    <row r="3" spans="1:23" ht="15.6">
      <c r="A3" s="14"/>
      <c r="B3" s="15"/>
      <c r="C3" s="16"/>
      <c r="D3" s="16"/>
      <c r="E3" s="14"/>
      <c r="F3" s="14"/>
      <c r="G3" s="14"/>
      <c r="H3" s="14"/>
      <c r="I3" s="14"/>
      <c r="J3" s="14"/>
      <c r="K3" s="15"/>
      <c r="L3" s="15"/>
      <c r="M3" s="15"/>
      <c r="N3" s="15"/>
      <c r="O3" s="15"/>
      <c r="P3" s="15"/>
      <c r="Q3" s="15"/>
      <c r="R3" s="15"/>
      <c r="S3" s="15"/>
      <c r="T3" s="15"/>
      <c r="U3" s="15"/>
      <c r="V3" s="15"/>
      <c r="W3" s="14"/>
    </row>
    <row r="4" spans="1:23" ht="15.6">
      <c r="A4" s="14"/>
      <c r="B4" s="15"/>
      <c r="C4" s="16"/>
      <c r="D4" s="16"/>
      <c r="E4" s="14"/>
      <c r="F4" s="14"/>
      <c r="G4" s="14"/>
      <c r="H4" s="14"/>
      <c r="I4" s="14"/>
      <c r="J4" s="14"/>
      <c r="K4" s="15"/>
      <c r="L4" s="115" t="s">
        <v>159</v>
      </c>
      <c r="M4" s="115"/>
      <c r="N4" s="115"/>
      <c r="O4" s="115"/>
      <c r="P4" s="115"/>
      <c r="Q4" s="115"/>
      <c r="R4" s="115"/>
      <c r="S4" s="115"/>
      <c r="T4" s="115"/>
      <c r="U4" s="115"/>
      <c r="V4" s="27"/>
      <c r="W4" s="27"/>
    </row>
    <row r="5" spans="1:23" ht="15.6">
      <c r="A5" s="20"/>
      <c r="B5" s="21"/>
      <c r="C5" s="22"/>
      <c r="D5" s="22"/>
      <c r="E5" s="20"/>
      <c r="F5" s="14"/>
      <c r="G5" s="14"/>
      <c r="H5" s="14"/>
      <c r="I5" s="14"/>
      <c r="J5" s="14"/>
      <c r="K5" s="21"/>
      <c r="L5" s="21"/>
      <c r="M5" s="21"/>
      <c r="N5" s="21"/>
      <c r="O5" s="21"/>
      <c r="P5" s="21"/>
      <c r="Q5" s="21"/>
      <c r="R5" s="21"/>
      <c r="S5" s="21"/>
      <c r="T5" s="21"/>
      <c r="U5" s="21"/>
      <c r="V5" s="21"/>
      <c r="W5" s="14"/>
    </row>
    <row r="6" spans="1:23" s="1" customFormat="1" ht="20.399999999999999">
      <c r="A6" s="95" t="s">
        <v>0</v>
      </c>
      <c r="B6" s="95"/>
      <c r="C6" s="95"/>
      <c r="D6" s="95"/>
      <c r="E6" s="95"/>
      <c r="F6" s="95"/>
      <c r="G6" s="95"/>
      <c r="H6" s="95"/>
      <c r="I6" s="95"/>
      <c r="J6" s="95"/>
      <c r="K6" s="95"/>
      <c r="L6" s="95"/>
      <c r="M6" s="95"/>
      <c r="N6" s="95"/>
      <c r="O6" s="95"/>
      <c r="P6" s="95"/>
      <c r="Q6" s="95"/>
      <c r="R6" s="95"/>
    </row>
    <row r="7" spans="1:23" s="1" customFormat="1" ht="18">
      <c r="A7" s="96" t="s">
        <v>171</v>
      </c>
      <c r="B7" s="96"/>
      <c r="C7" s="96"/>
      <c r="D7" s="96"/>
      <c r="E7" s="96"/>
      <c r="F7" s="96"/>
      <c r="G7" s="96"/>
      <c r="H7" s="96"/>
      <c r="I7" s="96"/>
      <c r="J7" s="96"/>
      <c r="K7" s="96"/>
      <c r="L7" s="96"/>
      <c r="M7" s="96"/>
      <c r="N7" s="96"/>
      <c r="O7" s="96"/>
      <c r="P7" s="96"/>
      <c r="Q7" s="96"/>
      <c r="R7" s="96"/>
    </row>
    <row r="8" spans="1:23" s="1" customFormat="1" ht="18">
      <c r="A8" s="6"/>
      <c r="B8" s="6"/>
      <c r="C8" s="6"/>
      <c r="D8" s="37"/>
      <c r="E8" s="6"/>
      <c r="F8" s="6"/>
      <c r="G8" s="6"/>
      <c r="H8" s="6"/>
      <c r="I8" s="6"/>
      <c r="J8" s="6"/>
      <c r="K8" s="6"/>
      <c r="L8" s="6"/>
      <c r="M8" s="6"/>
      <c r="N8" s="6"/>
      <c r="O8" s="6"/>
      <c r="P8" s="6"/>
      <c r="Q8" s="6"/>
      <c r="R8" s="6"/>
    </row>
    <row r="9" spans="1:23" s="1" customFormat="1" ht="18">
      <c r="A9" s="7" t="s">
        <v>1</v>
      </c>
      <c r="B9" s="8"/>
      <c r="C9" s="8" t="s">
        <v>170</v>
      </c>
      <c r="D9" s="38"/>
      <c r="E9" s="8"/>
      <c r="F9" s="8"/>
      <c r="G9" s="8"/>
      <c r="H9" s="8"/>
      <c r="I9" s="8"/>
      <c r="J9" s="8"/>
      <c r="K9" s="8"/>
      <c r="L9" s="82"/>
      <c r="M9" s="6"/>
      <c r="N9" s="6"/>
      <c r="O9" s="6"/>
      <c r="P9" s="6"/>
      <c r="Q9" s="6"/>
      <c r="R9" s="6"/>
    </row>
    <row r="10" spans="1:23" s="1" customFormat="1" ht="18">
      <c r="A10" s="7" t="s">
        <v>2</v>
      </c>
      <c r="B10" s="8"/>
      <c r="C10" s="8" t="s">
        <v>172</v>
      </c>
      <c r="D10" s="38"/>
      <c r="E10" s="8"/>
      <c r="F10" s="8"/>
      <c r="G10" s="8"/>
      <c r="H10" s="8"/>
      <c r="I10" s="8"/>
      <c r="J10" s="8"/>
      <c r="K10" s="8"/>
      <c r="L10" s="82"/>
      <c r="R10" s="83"/>
    </row>
    <row r="11" spans="1:23" ht="13.95" customHeight="1">
      <c r="A11" s="20"/>
      <c r="B11" s="21"/>
      <c r="C11" s="22"/>
      <c r="D11" s="22"/>
      <c r="E11" s="20"/>
      <c r="F11" s="14"/>
      <c r="G11" s="14"/>
      <c r="H11" s="14"/>
      <c r="I11" s="14"/>
      <c r="J11" s="14"/>
      <c r="K11" s="21"/>
      <c r="L11" s="21"/>
      <c r="M11" s="21"/>
      <c r="N11" s="21"/>
      <c r="O11" s="21"/>
      <c r="P11" s="21"/>
      <c r="Q11" s="21"/>
      <c r="R11" s="21"/>
      <c r="S11" s="21"/>
      <c r="T11" s="21"/>
      <c r="U11" s="21"/>
      <c r="V11" s="21"/>
      <c r="W11" s="14"/>
    </row>
    <row r="12" spans="1:23" ht="15.6">
      <c r="A12" s="101" t="s">
        <v>3</v>
      </c>
      <c r="B12" s="101" t="s">
        <v>62</v>
      </c>
      <c r="C12" s="102" t="s">
        <v>63</v>
      </c>
      <c r="D12" s="116" t="s">
        <v>7</v>
      </c>
      <c r="E12" s="116"/>
      <c r="F12" s="116"/>
      <c r="G12" s="116"/>
      <c r="H12" s="116"/>
      <c r="I12" s="116"/>
      <c r="J12" s="116"/>
      <c r="K12" s="116"/>
      <c r="L12" s="116"/>
      <c r="M12" s="116"/>
      <c r="N12" s="103" t="s">
        <v>64</v>
      </c>
      <c r="O12" s="104"/>
      <c r="P12" s="104"/>
      <c r="Q12" s="104"/>
      <c r="R12" s="105"/>
      <c r="S12" s="103" t="s">
        <v>65</v>
      </c>
      <c r="T12" s="104"/>
      <c r="U12" s="105"/>
      <c r="V12" s="28"/>
      <c r="W12" s="28"/>
    </row>
    <row r="13" spans="1:23" ht="15.6">
      <c r="A13" s="101"/>
      <c r="B13" s="101"/>
      <c r="C13" s="102"/>
      <c r="D13" s="117" t="s">
        <v>66</v>
      </c>
      <c r="E13" s="118"/>
      <c r="F13" s="119"/>
      <c r="G13" s="117" t="s">
        <v>67</v>
      </c>
      <c r="H13" s="118"/>
      <c r="I13" s="119"/>
      <c r="J13" s="117" t="s">
        <v>15</v>
      </c>
      <c r="K13" s="118"/>
      <c r="L13" s="118"/>
      <c r="M13" s="119"/>
      <c r="N13" s="106"/>
      <c r="O13" s="107"/>
      <c r="P13" s="107"/>
      <c r="Q13" s="107"/>
      <c r="R13" s="108"/>
      <c r="S13" s="106"/>
      <c r="T13" s="107"/>
      <c r="U13" s="108"/>
      <c r="V13" s="28"/>
      <c r="W13" s="28"/>
    </row>
    <row r="14" spans="1:23" ht="70.5" customHeight="1">
      <c r="A14" s="101"/>
      <c r="B14" s="101"/>
      <c r="C14" s="102"/>
      <c r="D14" s="64" t="s">
        <v>68</v>
      </c>
      <c r="E14" s="64" t="s">
        <v>69</v>
      </c>
      <c r="F14" s="64" t="s">
        <v>70</v>
      </c>
      <c r="G14" s="64" t="s">
        <v>71</v>
      </c>
      <c r="H14" s="64" t="s">
        <v>72</v>
      </c>
      <c r="I14" s="64" t="s">
        <v>73</v>
      </c>
      <c r="J14" s="64" t="s">
        <v>74</v>
      </c>
      <c r="K14" s="64" t="s">
        <v>75</v>
      </c>
      <c r="L14" s="64" t="s">
        <v>76</v>
      </c>
      <c r="M14" s="64" t="s">
        <v>77</v>
      </c>
      <c r="N14" s="64" t="s">
        <v>18</v>
      </c>
      <c r="O14" s="64" t="s">
        <v>16</v>
      </c>
      <c r="P14" s="64" t="s">
        <v>78</v>
      </c>
      <c r="Q14" s="64" t="s">
        <v>79</v>
      </c>
      <c r="R14" s="64" t="s">
        <v>80</v>
      </c>
      <c r="S14" s="29" t="s">
        <v>23</v>
      </c>
      <c r="T14" s="29" t="s">
        <v>57</v>
      </c>
      <c r="U14" s="29" t="s">
        <v>81</v>
      </c>
      <c r="V14" s="30"/>
      <c r="W14" s="30"/>
    </row>
    <row r="15" spans="1:23" s="74" customFormat="1" ht="17.399999999999999">
      <c r="A15" s="77">
        <v>1</v>
      </c>
      <c r="B15" s="78" t="s">
        <v>446</v>
      </c>
      <c r="C15" s="79">
        <v>10</v>
      </c>
      <c r="D15" s="77">
        <v>10</v>
      </c>
      <c r="E15" s="77">
        <v>0</v>
      </c>
      <c r="F15" s="77">
        <v>0</v>
      </c>
      <c r="G15" s="77">
        <v>10</v>
      </c>
      <c r="H15" s="77">
        <v>0</v>
      </c>
      <c r="I15" s="77">
        <v>0</v>
      </c>
      <c r="J15" s="77">
        <v>10</v>
      </c>
      <c r="K15" s="77">
        <v>0</v>
      </c>
      <c r="L15" s="77">
        <v>0</v>
      </c>
      <c r="M15" s="77">
        <v>0</v>
      </c>
      <c r="N15" s="77">
        <v>0</v>
      </c>
      <c r="O15" s="77">
        <v>0</v>
      </c>
      <c r="P15" s="77">
        <v>2</v>
      </c>
      <c r="Q15" s="77">
        <v>0</v>
      </c>
      <c r="R15" s="77">
        <v>0</v>
      </c>
      <c r="S15" s="77">
        <v>8</v>
      </c>
      <c r="T15" s="77">
        <v>2</v>
      </c>
      <c r="U15" s="77">
        <v>0</v>
      </c>
      <c r="V15" s="80"/>
      <c r="W15" s="81"/>
    </row>
    <row r="16" spans="1:23" s="74" customFormat="1" ht="17.399999999999999">
      <c r="A16" s="77">
        <v>2</v>
      </c>
      <c r="B16" s="78" t="s">
        <v>447</v>
      </c>
      <c r="C16" s="79">
        <v>9</v>
      </c>
      <c r="D16" s="77">
        <v>9</v>
      </c>
      <c r="E16" s="77">
        <v>0</v>
      </c>
      <c r="F16" s="77">
        <v>0</v>
      </c>
      <c r="G16" s="77">
        <v>9</v>
      </c>
      <c r="H16" s="77">
        <v>0</v>
      </c>
      <c r="I16" s="77">
        <v>0</v>
      </c>
      <c r="J16" s="77">
        <v>9</v>
      </c>
      <c r="K16" s="77">
        <v>0</v>
      </c>
      <c r="L16" s="77">
        <v>0</v>
      </c>
      <c r="M16" s="77">
        <v>0</v>
      </c>
      <c r="N16" s="77">
        <v>0</v>
      </c>
      <c r="O16" s="77">
        <v>0</v>
      </c>
      <c r="P16" s="77">
        <v>3</v>
      </c>
      <c r="Q16" s="77">
        <v>0</v>
      </c>
      <c r="R16" s="77">
        <v>0</v>
      </c>
      <c r="S16" s="77">
        <v>6</v>
      </c>
      <c r="T16" s="77">
        <v>3</v>
      </c>
      <c r="U16" s="77">
        <v>0</v>
      </c>
      <c r="V16" s="80"/>
      <c r="W16" s="81"/>
    </row>
    <row r="17" spans="1:23" s="74" customFormat="1" ht="17.399999999999999">
      <c r="A17" s="77">
        <v>3</v>
      </c>
      <c r="B17" s="78" t="s">
        <v>448</v>
      </c>
      <c r="C17" s="79">
        <v>13</v>
      </c>
      <c r="D17" s="77">
        <v>13</v>
      </c>
      <c r="E17" s="77">
        <v>0</v>
      </c>
      <c r="F17" s="77">
        <v>0</v>
      </c>
      <c r="G17" s="77">
        <v>13</v>
      </c>
      <c r="H17" s="77">
        <v>0</v>
      </c>
      <c r="I17" s="77">
        <v>0</v>
      </c>
      <c r="J17" s="77">
        <v>13</v>
      </c>
      <c r="K17" s="77">
        <v>0</v>
      </c>
      <c r="L17" s="77">
        <v>0</v>
      </c>
      <c r="M17" s="77">
        <v>0</v>
      </c>
      <c r="N17" s="77">
        <v>0</v>
      </c>
      <c r="O17" s="77">
        <v>0</v>
      </c>
      <c r="P17" s="77">
        <v>1</v>
      </c>
      <c r="Q17" s="77">
        <v>0</v>
      </c>
      <c r="R17" s="77">
        <v>0</v>
      </c>
      <c r="S17" s="77">
        <v>12</v>
      </c>
      <c r="T17" s="77">
        <v>1</v>
      </c>
      <c r="U17" s="77">
        <v>0</v>
      </c>
      <c r="V17" s="80"/>
      <c r="W17" s="81"/>
    </row>
    <row r="18" spans="1:23" s="74" customFormat="1" ht="17.399999999999999">
      <c r="A18" s="77">
        <v>4</v>
      </c>
      <c r="B18" s="78" t="s">
        <v>451</v>
      </c>
      <c r="C18" s="79">
        <v>13</v>
      </c>
      <c r="D18" s="77">
        <v>13</v>
      </c>
      <c r="E18" s="77">
        <v>0</v>
      </c>
      <c r="F18" s="77">
        <v>0</v>
      </c>
      <c r="G18" s="77">
        <v>11</v>
      </c>
      <c r="H18" s="77">
        <v>2</v>
      </c>
      <c r="I18" s="77">
        <v>0</v>
      </c>
      <c r="J18" s="77">
        <v>13</v>
      </c>
      <c r="K18" s="77">
        <v>0</v>
      </c>
      <c r="L18" s="77">
        <v>0</v>
      </c>
      <c r="M18" s="77">
        <v>0</v>
      </c>
      <c r="N18" s="77">
        <v>0</v>
      </c>
      <c r="O18" s="77">
        <v>0</v>
      </c>
      <c r="P18" s="77">
        <v>0</v>
      </c>
      <c r="Q18" s="77">
        <v>0</v>
      </c>
      <c r="R18" s="77">
        <v>0</v>
      </c>
      <c r="S18" s="77">
        <v>11</v>
      </c>
      <c r="T18" s="77">
        <v>2</v>
      </c>
      <c r="U18" s="77">
        <v>0</v>
      </c>
      <c r="V18" s="80"/>
      <c r="W18" s="81"/>
    </row>
    <row r="19" spans="1:23" s="74" customFormat="1" ht="17.399999999999999">
      <c r="A19" s="77">
        <v>5</v>
      </c>
      <c r="B19" s="78" t="s">
        <v>452</v>
      </c>
      <c r="C19" s="79">
        <v>14</v>
      </c>
      <c r="D19" s="77">
        <v>13</v>
      </c>
      <c r="E19" s="77">
        <v>0</v>
      </c>
      <c r="F19" s="77">
        <v>1</v>
      </c>
      <c r="G19" s="77">
        <v>14</v>
      </c>
      <c r="H19" s="77">
        <v>0</v>
      </c>
      <c r="I19" s="77">
        <v>0</v>
      </c>
      <c r="J19" s="77">
        <v>14</v>
      </c>
      <c r="K19" s="77">
        <v>0</v>
      </c>
      <c r="L19" s="77">
        <v>0</v>
      </c>
      <c r="M19" s="77">
        <v>0</v>
      </c>
      <c r="N19" s="77">
        <v>0</v>
      </c>
      <c r="O19" s="77">
        <v>0</v>
      </c>
      <c r="P19" s="77">
        <v>1</v>
      </c>
      <c r="Q19" s="77">
        <v>1</v>
      </c>
      <c r="R19" s="77">
        <v>0</v>
      </c>
      <c r="S19" s="77">
        <v>12</v>
      </c>
      <c r="T19" s="77">
        <v>2</v>
      </c>
      <c r="U19" s="77">
        <v>0</v>
      </c>
      <c r="V19" s="80"/>
      <c r="W19" s="81"/>
    </row>
    <row r="20" spans="1:23" s="74" customFormat="1" ht="17.399999999999999">
      <c r="A20" s="77">
        <v>6</v>
      </c>
      <c r="B20" s="78" t="s">
        <v>453</v>
      </c>
      <c r="C20" s="79">
        <v>16</v>
      </c>
      <c r="D20" s="77">
        <v>14</v>
      </c>
      <c r="E20" s="77">
        <v>0</v>
      </c>
      <c r="F20" s="77">
        <v>2</v>
      </c>
      <c r="G20" s="77">
        <v>16</v>
      </c>
      <c r="H20" s="77">
        <v>0</v>
      </c>
      <c r="I20" s="77">
        <v>0</v>
      </c>
      <c r="J20" s="77">
        <v>14</v>
      </c>
      <c r="K20" s="77">
        <v>2</v>
      </c>
      <c r="L20" s="77">
        <v>0</v>
      </c>
      <c r="M20" s="77">
        <v>0</v>
      </c>
      <c r="N20" s="77">
        <v>0</v>
      </c>
      <c r="O20" s="77">
        <v>0</v>
      </c>
      <c r="P20" s="77">
        <v>3</v>
      </c>
      <c r="Q20" s="77">
        <v>0</v>
      </c>
      <c r="R20" s="77">
        <v>0</v>
      </c>
      <c r="S20" s="77">
        <v>11</v>
      </c>
      <c r="T20" s="77">
        <v>5</v>
      </c>
      <c r="U20" s="77">
        <v>0</v>
      </c>
      <c r="V20" s="80"/>
      <c r="W20" s="81"/>
    </row>
    <row r="21" spans="1:23" s="74" customFormat="1" ht="17.399999999999999">
      <c r="A21" s="77">
        <v>7</v>
      </c>
      <c r="B21" s="78" t="s">
        <v>454</v>
      </c>
      <c r="C21" s="79">
        <v>19</v>
      </c>
      <c r="D21" s="77">
        <v>17</v>
      </c>
      <c r="E21" s="77">
        <v>1</v>
      </c>
      <c r="F21" s="77">
        <v>1</v>
      </c>
      <c r="G21" s="77">
        <v>18</v>
      </c>
      <c r="H21" s="77">
        <v>1</v>
      </c>
      <c r="I21" s="77">
        <v>0</v>
      </c>
      <c r="J21" s="77">
        <v>18</v>
      </c>
      <c r="K21" s="77">
        <v>0</v>
      </c>
      <c r="L21" s="77">
        <v>0</v>
      </c>
      <c r="M21" s="77">
        <v>1</v>
      </c>
      <c r="N21" s="77">
        <v>0</v>
      </c>
      <c r="O21" s="77">
        <v>0</v>
      </c>
      <c r="P21" s="77">
        <v>2</v>
      </c>
      <c r="Q21" s="77">
        <v>2</v>
      </c>
      <c r="R21" s="77">
        <v>0</v>
      </c>
      <c r="S21" s="77">
        <v>14</v>
      </c>
      <c r="T21" s="77">
        <v>5</v>
      </c>
      <c r="U21" s="77">
        <v>0</v>
      </c>
      <c r="V21" s="80"/>
      <c r="W21" s="81"/>
    </row>
    <row r="22" spans="1:23" s="74" customFormat="1" ht="17.399999999999999">
      <c r="A22" s="77">
        <v>8</v>
      </c>
      <c r="B22" s="78" t="s">
        <v>455</v>
      </c>
      <c r="C22" s="79">
        <v>16</v>
      </c>
      <c r="D22" s="77">
        <v>15</v>
      </c>
      <c r="E22" s="77">
        <v>0</v>
      </c>
      <c r="F22" s="77">
        <v>1</v>
      </c>
      <c r="G22" s="77">
        <v>16</v>
      </c>
      <c r="H22" s="77">
        <v>0</v>
      </c>
      <c r="I22" s="77">
        <v>0</v>
      </c>
      <c r="J22" s="77">
        <v>13</v>
      </c>
      <c r="K22" s="77">
        <v>2</v>
      </c>
      <c r="L22" s="77">
        <v>1</v>
      </c>
      <c r="M22" s="77">
        <v>0</v>
      </c>
      <c r="N22" s="77">
        <v>0</v>
      </c>
      <c r="O22" s="77">
        <v>0</v>
      </c>
      <c r="P22" s="77">
        <v>3</v>
      </c>
      <c r="Q22" s="77">
        <v>2</v>
      </c>
      <c r="R22" s="77">
        <v>0</v>
      </c>
      <c r="S22" s="77">
        <v>9</v>
      </c>
      <c r="T22" s="77">
        <v>6</v>
      </c>
      <c r="U22" s="77">
        <v>1</v>
      </c>
      <c r="V22" s="80"/>
      <c r="W22" s="81"/>
    </row>
    <row r="23" spans="1:23" s="74" customFormat="1" ht="17.399999999999999">
      <c r="A23" s="77">
        <v>9</v>
      </c>
      <c r="B23" s="78" t="s">
        <v>456</v>
      </c>
      <c r="C23" s="79">
        <v>13</v>
      </c>
      <c r="D23" s="77">
        <v>13</v>
      </c>
      <c r="E23" s="77">
        <v>0</v>
      </c>
      <c r="F23" s="77">
        <v>0</v>
      </c>
      <c r="G23" s="77">
        <v>13</v>
      </c>
      <c r="H23" s="77">
        <v>0</v>
      </c>
      <c r="I23" s="77">
        <v>0</v>
      </c>
      <c r="J23" s="77">
        <v>13</v>
      </c>
      <c r="K23" s="77">
        <v>0</v>
      </c>
      <c r="L23" s="77">
        <v>0</v>
      </c>
      <c r="M23" s="77">
        <v>0</v>
      </c>
      <c r="N23" s="77">
        <v>0</v>
      </c>
      <c r="O23" s="77">
        <v>0</v>
      </c>
      <c r="P23" s="77">
        <v>2</v>
      </c>
      <c r="Q23" s="77">
        <v>0</v>
      </c>
      <c r="R23" s="77">
        <v>0</v>
      </c>
      <c r="S23" s="77">
        <v>11</v>
      </c>
      <c r="T23" s="77">
        <v>2</v>
      </c>
      <c r="U23" s="77">
        <v>0</v>
      </c>
      <c r="V23" s="80"/>
      <c r="W23" s="81"/>
    </row>
    <row r="24" spans="1:23" s="74" customFormat="1" ht="17.399999999999999">
      <c r="A24" s="77">
        <v>10</v>
      </c>
      <c r="B24" s="78" t="s">
        <v>457</v>
      </c>
      <c r="C24" s="79">
        <v>22</v>
      </c>
      <c r="D24" s="77">
        <v>17</v>
      </c>
      <c r="E24" s="77">
        <v>1</v>
      </c>
      <c r="F24" s="77">
        <v>4</v>
      </c>
      <c r="G24" s="77">
        <v>20</v>
      </c>
      <c r="H24" s="77">
        <v>1</v>
      </c>
      <c r="I24" s="77">
        <v>1</v>
      </c>
      <c r="J24" s="77">
        <v>14</v>
      </c>
      <c r="K24" s="77">
        <v>3</v>
      </c>
      <c r="L24" s="77">
        <v>5</v>
      </c>
      <c r="M24" s="77">
        <v>0</v>
      </c>
      <c r="N24" s="77">
        <v>0</v>
      </c>
      <c r="O24" s="77">
        <v>0</v>
      </c>
      <c r="P24" s="77">
        <v>0</v>
      </c>
      <c r="Q24" s="77">
        <v>7</v>
      </c>
      <c r="R24" s="77">
        <v>0</v>
      </c>
      <c r="S24" s="77">
        <v>10</v>
      </c>
      <c r="T24" s="77">
        <v>7</v>
      </c>
      <c r="U24" s="77">
        <v>5</v>
      </c>
      <c r="V24" s="80"/>
      <c r="W24" s="81"/>
    </row>
    <row r="25" spans="1:23" s="74" customFormat="1" ht="17.399999999999999">
      <c r="A25" s="77">
        <v>11</v>
      </c>
      <c r="B25" s="78" t="s">
        <v>458</v>
      </c>
      <c r="C25" s="79">
        <v>24</v>
      </c>
      <c r="D25" s="77">
        <v>18</v>
      </c>
      <c r="E25" s="77">
        <v>0</v>
      </c>
      <c r="F25" s="77">
        <v>6</v>
      </c>
      <c r="G25" s="77">
        <v>22</v>
      </c>
      <c r="H25" s="77">
        <v>1</v>
      </c>
      <c r="I25" s="77">
        <v>1</v>
      </c>
      <c r="J25" s="77">
        <v>20</v>
      </c>
      <c r="K25" s="77">
        <v>2</v>
      </c>
      <c r="L25" s="77">
        <v>2</v>
      </c>
      <c r="M25" s="77">
        <v>0</v>
      </c>
      <c r="N25" s="77">
        <v>3</v>
      </c>
      <c r="O25" s="77">
        <v>0</v>
      </c>
      <c r="P25" s="77">
        <v>2</v>
      </c>
      <c r="Q25" s="77">
        <v>5</v>
      </c>
      <c r="R25" s="77">
        <v>0</v>
      </c>
      <c r="S25" s="77">
        <v>14</v>
      </c>
      <c r="T25" s="77">
        <v>8</v>
      </c>
      <c r="U25" s="77">
        <v>2</v>
      </c>
      <c r="V25" s="80"/>
      <c r="W25" s="81"/>
    </row>
    <row r="26" spans="1:23" s="74" customFormat="1" ht="17.399999999999999">
      <c r="A26" s="77">
        <v>12</v>
      </c>
      <c r="B26" s="78" t="s">
        <v>459</v>
      </c>
      <c r="C26" s="79">
        <v>26</v>
      </c>
      <c r="D26" s="77">
        <v>19</v>
      </c>
      <c r="E26" s="77">
        <v>0</v>
      </c>
      <c r="F26" s="77">
        <v>7</v>
      </c>
      <c r="G26" s="77">
        <v>26</v>
      </c>
      <c r="H26" s="77">
        <v>0</v>
      </c>
      <c r="I26" s="77">
        <v>0</v>
      </c>
      <c r="J26" s="77">
        <v>15</v>
      </c>
      <c r="K26" s="77">
        <v>5</v>
      </c>
      <c r="L26" s="77">
        <v>6</v>
      </c>
      <c r="M26" s="77">
        <v>0</v>
      </c>
      <c r="N26" s="77">
        <v>1</v>
      </c>
      <c r="O26" s="77">
        <v>0</v>
      </c>
      <c r="P26" s="77">
        <v>3</v>
      </c>
      <c r="Q26" s="77">
        <v>12</v>
      </c>
      <c r="R26" s="77">
        <v>0</v>
      </c>
      <c r="S26" s="77">
        <v>6</v>
      </c>
      <c r="T26" s="77">
        <v>14</v>
      </c>
      <c r="U26" s="77">
        <v>6</v>
      </c>
      <c r="V26" s="80"/>
      <c r="W26" s="81"/>
    </row>
    <row r="27" spans="1:23" ht="18">
      <c r="A27" s="120" t="s">
        <v>82</v>
      </c>
      <c r="B27" s="121"/>
      <c r="C27" s="23">
        <f>SUM(C15:C26)</f>
        <v>195</v>
      </c>
      <c r="D27" s="23">
        <f t="shared" ref="D27:U27" si="0">SUM(D15:D26)</f>
        <v>171</v>
      </c>
      <c r="E27" s="23">
        <f t="shared" si="0"/>
        <v>2</v>
      </c>
      <c r="F27" s="23">
        <f t="shared" si="0"/>
        <v>22</v>
      </c>
      <c r="G27" s="23">
        <f t="shared" si="0"/>
        <v>188</v>
      </c>
      <c r="H27" s="23">
        <f t="shared" si="0"/>
        <v>5</v>
      </c>
      <c r="I27" s="23">
        <f t="shared" si="0"/>
        <v>2</v>
      </c>
      <c r="J27" s="23">
        <f t="shared" si="0"/>
        <v>166</v>
      </c>
      <c r="K27" s="23">
        <f t="shared" si="0"/>
        <v>14</v>
      </c>
      <c r="L27" s="23">
        <f t="shared" si="0"/>
        <v>14</v>
      </c>
      <c r="M27" s="23">
        <f t="shared" si="0"/>
        <v>1</v>
      </c>
      <c r="N27" s="23">
        <f t="shared" si="0"/>
        <v>4</v>
      </c>
      <c r="O27" s="23">
        <f t="shared" si="0"/>
        <v>0</v>
      </c>
      <c r="P27" s="23">
        <f t="shared" si="0"/>
        <v>22</v>
      </c>
      <c r="Q27" s="23">
        <f t="shared" si="0"/>
        <v>29</v>
      </c>
      <c r="R27" s="23">
        <f t="shared" si="0"/>
        <v>0</v>
      </c>
      <c r="S27" s="23">
        <f t="shared" si="0"/>
        <v>124</v>
      </c>
      <c r="T27" s="23">
        <f t="shared" si="0"/>
        <v>57</v>
      </c>
      <c r="U27" s="23">
        <f t="shared" si="0"/>
        <v>14</v>
      </c>
      <c r="V27" s="32"/>
      <c r="W27" s="33"/>
    </row>
    <row r="28" spans="1:23" ht="17.399999999999999">
      <c r="A28" s="120" t="s">
        <v>83</v>
      </c>
      <c r="B28" s="121"/>
      <c r="C28" s="24">
        <v>100</v>
      </c>
      <c r="D28" s="25">
        <f>(D27/$C$27)*100</f>
        <v>87.692307692307693</v>
      </c>
      <c r="E28" s="25">
        <f>(E27/$C$27)*100</f>
        <v>1.0256410256410255</v>
      </c>
      <c r="F28" s="25">
        <f t="shared" ref="F28:U28" si="1">(F27/$C$27)*100</f>
        <v>11.282051282051283</v>
      </c>
      <c r="G28" s="25">
        <f t="shared" si="1"/>
        <v>96.410256410256409</v>
      </c>
      <c r="H28" s="25">
        <f t="shared" si="1"/>
        <v>2.5641025641025639</v>
      </c>
      <c r="I28" s="25">
        <f t="shared" si="1"/>
        <v>1.0256410256410255</v>
      </c>
      <c r="J28" s="25">
        <f t="shared" si="1"/>
        <v>85.128205128205124</v>
      </c>
      <c r="K28" s="25">
        <f t="shared" si="1"/>
        <v>7.1794871794871788</v>
      </c>
      <c r="L28" s="25">
        <f t="shared" si="1"/>
        <v>7.1794871794871788</v>
      </c>
      <c r="M28" s="25">
        <f t="shared" si="1"/>
        <v>0.51282051282051277</v>
      </c>
      <c r="N28" s="25">
        <f t="shared" si="1"/>
        <v>2.0512820512820511</v>
      </c>
      <c r="O28" s="25">
        <f t="shared" si="1"/>
        <v>0</v>
      </c>
      <c r="P28" s="25">
        <f t="shared" si="1"/>
        <v>11.282051282051283</v>
      </c>
      <c r="Q28" s="25">
        <f t="shared" si="1"/>
        <v>14.871794871794872</v>
      </c>
      <c r="R28" s="25">
        <f t="shared" si="1"/>
        <v>0</v>
      </c>
      <c r="S28" s="25">
        <f t="shared" si="1"/>
        <v>63.589743589743584</v>
      </c>
      <c r="T28" s="25">
        <f t="shared" si="1"/>
        <v>29.230769230769234</v>
      </c>
      <c r="U28" s="25">
        <f t="shared" si="1"/>
        <v>7.1794871794871788</v>
      </c>
      <c r="V28" s="34"/>
      <c r="W28" s="35"/>
    </row>
    <row r="30" spans="1:23" s="17" customFormat="1" ht="17.399999999999999">
      <c r="B30" s="122" t="s">
        <v>84</v>
      </c>
      <c r="C30" s="122"/>
      <c r="D30" s="122"/>
      <c r="E30" s="122"/>
      <c r="P30" s="122" t="s">
        <v>85</v>
      </c>
      <c r="Q30" s="122"/>
      <c r="R30" s="122"/>
      <c r="S30" s="122"/>
      <c r="T30" s="122"/>
    </row>
    <row r="35" spans="2:22" ht="17.399999999999999">
      <c r="B35" s="158" t="s">
        <v>152</v>
      </c>
      <c r="C35" s="158"/>
      <c r="D35" s="158"/>
      <c r="E35" s="158"/>
      <c r="P35" s="127" t="s">
        <v>460</v>
      </c>
      <c r="Q35" s="127"/>
      <c r="R35" s="127"/>
      <c r="S35" s="127"/>
      <c r="T35" s="127"/>
      <c r="U35" s="7"/>
      <c r="V35" s="7"/>
    </row>
  </sheetData>
  <mergeCells count="22">
    <mergeCell ref="P35:T35"/>
    <mergeCell ref="B35:E35"/>
    <mergeCell ref="A1:D1"/>
    <mergeCell ref="L1:U1"/>
    <mergeCell ref="A2:D2"/>
    <mergeCell ref="L2:U2"/>
    <mergeCell ref="L4:U4"/>
    <mergeCell ref="A6:R6"/>
    <mergeCell ref="A7:R7"/>
    <mergeCell ref="D12:M12"/>
    <mergeCell ref="D13:F13"/>
    <mergeCell ref="G13:I13"/>
    <mergeCell ref="J13:M13"/>
    <mergeCell ref="A27:B27"/>
    <mergeCell ref="A28:B28"/>
    <mergeCell ref="B30:E30"/>
    <mergeCell ref="P30:T30"/>
    <mergeCell ref="A12:A14"/>
    <mergeCell ref="B12:B14"/>
    <mergeCell ref="C12:C14"/>
    <mergeCell ref="N12:R13"/>
    <mergeCell ref="S12:U13"/>
  </mergeCells>
  <phoneticPr fontId="34" type="noConversion"/>
  <pageMargins left="0.70866141732283472" right="0.70866141732283472" top="0.74803149606299213" bottom="0.74803149606299213" header="0.31496062992125984" footer="0.31496062992125984"/>
  <pageSetup paperSize="9" scale="75" orientation="landscape"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0"/>
  <dimension ref="A1:AC73"/>
  <sheetViews>
    <sheetView view="pageBreakPreview" zoomScale="60" zoomScaleNormal="70" workbookViewId="0">
      <selection activeCell="N14" sqref="N14"/>
    </sheetView>
  </sheetViews>
  <sheetFormatPr defaultColWidth="10" defaultRowHeight="14.4"/>
  <cols>
    <col min="1" max="14" width="5.44140625" style="52" customWidth="1"/>
    <col min="15" max="15" width="9.44140625" style="52" customWidth="1"/>
    <col min="16" max="16" width="3.44140625" style="52" bestFit="1" customWidth="1"/>
    <col min="17" max="17" width="5.44140625" style="52" customWidth="1"/>
    <col min="18" max="27" width="10" style="52"/>
    <col min="28" max="28" width="27.33203125" style="52" customWidth="1"/>
    <col min="29" max="16384" width="10" style="52"/>
  </cols>
  <sheetData>
    <row r="1" spans="1:29" ht="16.8">
      <c r="A1" s="110" t="s">
        <v>58</v>
      </c>
      <c r="B1" s="110"/>
      <c r="C1" s="110"/>
      <c r="D1" s="110"/>
      <c r="E1" s="110"/>
      <c r="F1" s="110"/>
      <c r="G1" s="110"/>
      <c r="H1" s="51"/>
      <c r="I1" s="111" t="s">
        <v>59</v>
      </c>
      <c r="J1" s="111"/>
      <c r="K1" s="111"/>
      <c r="L1" s="111"/>
      <c r="M1" s="111"/>
      <c r="N1" s="111"/>
      <c r="O1" s="111"/>
      <c r="P1" s="111"/>
      <c r="Q1" s="111"/>
      <c r="R1" s="128" t="s">
        <v>97</v>
      </c>
      <c r="S1" s="128"/>
      <c r="T1" s="128"/>
      <c r="U1" s="128"/>
      <c r="V1" s="128"/>
      <c r="W1" s="128"/>
      <c r="X1" s="128"/>
      <c r="Y1" s="128"/>
      <c r="Z1" s="128"/>
      <c r="AB1" s="53" t="e">
        <f>CONCATENATE("BIỂU ĐỒ ",RIGHT(#REF!,LEN(#REF!)-7))</f>
        <v>#REF!</v>
      </c>
    </row>
    <row r="2" spans="1:29" ht="34.950000000000003" customHeight="1">
      <c r="A2" s="131" t="s">
        <v>151</v>
      </c>
      <c r="B2" s="131"/>
      <c r="C2" s="131"/>
      <c r="D2" s="131"/>
      <c r="E2" s="131"/>
      <c r="F2" s="131"/>
      <c r="G2" s="131"/>
      <c r="H2" s="51"/>
      <c r="I2" s="132" t="s">
        <v>98</v>
      </c>
      <c r="J2" s="132"/>
      <c r="K2" s="132"/>
      <c r="L2" s="132"/>
      <c r="M2" s="132"/>
      <c r="N2" s="132"/>
      <c r="O2" s="132"/>
      <c r="P2" s="132"/>
      <c r="Q2" s="132"/>
      <c r="R2" s="128"/>
      <c r="S2" s="128"/>
      <c r="T2" s="128"/>
      <c r="U2" s="128"/>
      <c r="V2" s="128"/>
      <c r="W2" s="128"/>
      <c r="X2" s="128"/>
      <c r="Y2" s="128"/>
      <c r="Z2" s="128"/>
    </row>
    <row r="3" spans="1:29" ht="16.8">
      <c r="A3" s="51"/>
      <c r="B3" s="51"/>
      <c r="C3" s="51"/>
      <c r="D3" s="51"/>
      <c r="E3" s="51"/>
      <c r="F3" s="51"/>
      <c r="G3" s="51"/>
      <c r="H3" s="51"/>
      <c r="I3" s="51"/>
      <c r="J3" s="51"/>
      <c r="K3" s="51"/>
      <c r="L3" s="51"/>
      <c r="M3" s="51"/>
      <c r="N3" s="51"/>
      <c r="O3" s="51"/>
      <c r="P3" s="51"/>
      <c r="Q3" s="51"/>
    </row>
    <row r="4" spans="1:29" ht="16.8">
      <c r="A4" s="51"/>
      <c r="B4" s="51"/>
      <c r="C4" s="51"/>
      <c r="D4" s="51"/>
      <c r="E4" s="51"/>
      <c r="F4" s="51"/>
      <c r="G4" s="51"/>
      <c r="H4" s="51"/>
      <c r="I4" s="130" t="s">
        <v>159</v>
      </c>
      <c r="J4" s="130"/>
      <c r="K4" s="130"/>
      <c r="L4" s="130"/>
      <c r="M4" s="130"/>
      <c r="N4" s="130"/>
      <c r="O4" s="130"/>
      <c r="P4" s="130"/>
      <c r="Q4" s="130"/>
      <c r="R4" s="130"/>
      <c r="AC4" s="52" t="s">
        <v>83</v>
      </c>
    </row>
    <row r="5" spans="1:29" ht="16.8">
      <c r="A5" s="51"/>
      <c r="B5" s="51"/>
      <c r="C5" s="51"/>
      <c r="D5" s="51"/>
      <c r="E5" s="51"/>
      <c r="F5" s="51"/>
      <c r="G5" s="51"/>
      <c r="H5" s="51"/>
      <c r="I5" s="51"/>
      <c r="J5" s="51"/>
      <c r="K5" s="51"/>
      <c r="L5" s="51"/>
      <c r="M5" s="51"/>
      <c r="N5" s="51"/>
      <c r="O5" s="51"/>
      <c r="P5" s="51"/>
      <c r="Q5" s="51"/>
      <c r="AC5" s="54"/>
    </row>
    <row r="6" spans="1:29">
      <c r="A6" s="129" t="s">
        <v>462</v>
      </c>
      <c r="B6" s="129"/>
      <c r="C6" s="129"/>
      <c r="D6" s="129"/>
      <c r="E6" s="129"/>
      <c r="F6" s="129"/>
      <c r="G6" s="129"/>
      <c r="H6" s="129"/>
      <c r="I6" s="129"/>
      <c r="J6" s="129"/>
      <c r="K6" s="129"/>
      <c r="L6" s="129"/>
      <c r="M6" s="129"/>
      <c r="N6" s="129"/>
      <c r="O6" s="129"/>
      <c r="P6" s="129"/>
      <c r="Q6" s="129"/>
      <c r="AB6" s="52" t="s">
        <v>99</v>
      </c>
      <c r="AC6" s="54">
        <f>O27/100</f>
        <v>2.6000000000000002E-2</v>
      </c>
    </row>
    <row r="7" spans="1:29">
      <c r="A7" s="129"/>
      <c r="B7" s="129"/>
      <c r="C7" s="129"/>
      <c r="D7" s="129"/>
      <c r="E7" s="129"/>
      <c r="F7" s="129"/>
      <c r="G7" s="129"/>
      <c r="H7" s="129"/>
      <c r="I7" s="129"/>
      <c r="J7" s="129"/>
      <c r="K7" s="129"/>
      <c r="L7" s="129"/>
      <c r="M7" s="129"/>
      <c r="N7" s="129"/>
      <c r="O7" s="129"/>
      <c r="P7" s="129"/>
      <c r="Q7" s="129"/>
      <c r="AB7" s="52" t="s">
        <v>74</v>
      </c>
      <c r="AC7" s="54">
        <f t="shared" ref="AC7:AC8" si="0">O28/100</f>
        <v>0.96400000000000008</v>
      </c>
    </row>
    <row r="8" spans="1:29" ht="18">
      <c r="A8" s="96" t="s">
        <v>171</v>
      </c>
      <c r="B8" s="96"/>
      <c r="C8" s="96"/>
      <c r="D8" s="96"/>
      <c r="E8" s="96"/>
      <c r="F8" s="96"/>
      <c r="G8" s="96"/>
      <c r="H8" s="96"/>
      <c r="I8" s="96"/>
      <c r="J8" s="96"/>
      <c r="K8" s="96"/>
      <c r="L8" s="96"/>
      <c r="M8" s="96"/>
      <c r="N8" s="96"/>
      <c r="O8" s="96"/>
      <c r="P8" s="96"/>
      <c r="Q8" s="96"/>
      <c r="R8" s="96"/>
      <c r="AB8" s="52" t="s">
        <v>73</v>
      </c>
      <c r="AC8" s="54">
        <f t="shared" si="0"/>
        <v>0.01</v>
      </c>
    </row>
    <row r="9" spans="1:29" ht="16.8">
      <c r="A9" s="51"/>
      <c r="B9" s="51"/>
      <c r="C9" s="51"/>
      <c r="D9" s="51"/>
      <c r="E9" s="51"/>
      <c r="F9" s="51"/>
      <c r="G9" s="51"/>
      <c r="H9" s="51"/>
      <c r="I9" s="51"/>
      <c r="J9" s="51"/>
      <c r="K9" s="51"/>
      <c r="L9" s="51"/>
      <c r="M9" s="51"/>
      <c r="N9" s="51"/>
      <c r="O9" s="51"/>
      <c r="P9" s="51"/>
      <c r="Q9" s="51"/>
      <c r="AB9" s="52" t="s">
        <v>149</v>
      </c>
      <c r="AC9" s="54">
        <f>O20/100</f>
        <v>0.01</v>
      </c>
    </row>
    <row r="10" spans="1:29" ht="24.75" customHeight="1">
      <c r="A10" s="31" t="s">
        <v>1</v>
      </c>
      <c r="B10" s="55"/>
      <c r="C10" s="55"/>
      <c r="D10" s="8" t="s">
        <v>170</v>
      </c>
      <c r="E10" s="31"/>
      <c r="F10" s="55"/>
      <c r="G10" s="55"/>
      <c r="H10" s="55"/>
      <c r="I10" s="55"/>
      <c r="J10" s="55"/>
      <c r="K10" s="55"/>
      <c r="L10" s="55"/>
      <c r="M10" s="55"/>
      <c r="N10" s="55"/>
      <c r="O10" s="55"/>
      <c r="P10" s="55"/>
      <c r="Q10" s="55"/>
      <c r="AB10" s="52" t="s">
        <v>74</v>
      </c>
      <c r="AC10" s="54">
        <f>O21/100</f>
        <v>0.877</v>
      </c>
    </row>
    <row r="11" spans="1:29" ht="24.75" customHeight="1">
      <c r="A11" s="31" t="s">
        <v>2</v>
      </c>
      <c r="B11" s="55"/>
      <c r="C11" s="55"/>
      <c r="D11" s="159" t="s">
        <v>461</v>
      </c>
      <c r="E11" s="159"/>
      <c r="F11" s="159"/>
      <c r="G11" s="159"/>
      <c r="H11" s="159"/>
      <c r="I11" s="159"/>
      <c r="J11" s="159"/>
      <c r="K11" s="159"/>
      <c r="L11" s="159"/>
      <c r="M11" s="159"/>
      <c r="N11" s="159"/>
      <c r="O11" s="159"/>
      <c r="P11" s="159"/>
      <c r="Q11" s="159"/>
      <c r="AB11" s="52" t="s">
        <v>70</v>
      </c>
      <c r="AC11" s="54">
        <f>O22/100</f>
        <v>0.113</v>
      </c>
    </row>
    <row r="12" spans="1:29" ht="22.5" customHeight="1">
      <c r="A12" s="31"/>
      <c r="B12" s="55"/>
      <c r="C12" s="55"/>
      <c r="D12" s="159"/>
      <c r="E12" s="159"/>
      <c r="F12" s="159"/>
      <c r="G12" s="159"/>
      <c r="H12" s="159"/>
      <c r="I12" s="159"/>
      <c r="J12" s="159"/>
      <c r="K12" s="159"/>
      <c r="L12" s="159"/>
      <c r="M12" s="159"/>
      <c r="N12" s="159"/>
      <c r="O12" s="159"/>
      <c r="P12" s="159"/>
      <c r="Q12" s="159"/>
    </row>
    <row r="13" spans="1:29" customFormat="1" ht="33.75" customHeight="1">
      <c r="A13" s="17" t="s">
        <v>100</v>
      </c>
      <c r="B13" s="42"/>
      <c r="C13" s="42"/>
      <c r="D13" s="42"/>
      <c r="E13" s="42"/>
      <c r="F13" s="42"/>
      <c r="G13" s="42"/>
      <c r="H13" s="42"/>
      <c r="I13" s="42"/>
      <c r="J13" s="42"/>
      <c r="K13" s="42"/>
      <c r="L13" s="42"/>
      <c r="M13" s="42"/>
      <c r="N13" s="42"/>
      <c r="O13" s="42"/>
      <c r="P13" s="42"/>
      <c r="Q13" s="42"/>
    </row>
    <row r="14" spans="1:29" ht="22.5" customHeight="1">
      <c r="A14" s="55"/>
      <c r="B14" s="55"/>
      <c r="C14" s="55"/>
      <c r="D14" s="55"/>
      <c r="E14" s="55"/>
      <c r="F14" s="55"/>
      <c r="G14" s="55"/>
      <c r="H14" s="55"/>
      <c r="I14" s="55"/>
      <c r="J14" s="55"/>
      <c r="K14" s="55"/>
      <c r="L14" s="55"/>
      <c r="M14" s="55"/>
      <c r="N14" s="55"/>
      <c r="O14" s="55"/>
      <c r="P14" s="55"/>
      <c r="Q14" s="55"/>
    </row>
    <row r="15" spans="1:29" ht="22.5" customHeight="1">
      <c r="A15" s="55" t="s">
        <v>101</v>
      </c>
      <c r="B15" s="55"/>
      <c r="C15" s="55"/>
      <c r="D15" s="55"/>
      <c r="E15" s="55" t="str">
        <f>":  "&amp;'bảng tổng hợp'!C27&amp;"  học sinh"</f>
        <v>:  195  học sinh</v>
      </c>
      <c r="F15" s="55"/>
      <c r="G15" s="55"/>
      <c r="H15" s="55"/>
      <c r="I15" s="55"/>
      <c r="J15" s="55"/>
      <c r="K15" s="55" t="s">
        <v>102</v>
      </c>
      <c r="L15" s="55"/>
      <c r="M15" s="55"/>
      <c r="N15" s="55" t="str">
        <f>":  "&amp;COUNTA('bảng tổng hợp'!A15:A15)</f>
        <v>:  1</v>
      </c>
      <c r="O15" s="55"/>
      <c r="P15" s="55"/>
      <c r="Q15" s="55"/>
    </row>
    <row r="16" spans="1:29" ht="22.5" customHeight="1">
      <c r="A16" s="55"/>
      <c r="B16" s="55"/>
      <c r="C16" s="55"/>
      <c r="D16" s="55"/>
      <c r="E16" s="55"/>
      <c r="F16" s="55"/>
      <c r="G16" s="55"/>
      <c r="H16" s="55"/>
      <c r="I16" s="55"/>
      <c r="J16" s="55"/>
      <c r="K16" s="55"/>
      <c r="L16" s="55"/>
      <c r="M16" s="55"/>
      <c r="N16" s="55"/>
      <c r="O16" s="55"/>
      <c r="P16" s="55"/>
      <c r="Q16" s="55"/>
    </row>
    <row r="17" spans="1:29" ht="22.5" customHeight="1">
      <c r="A17" s="31" t="s">
        <v>103</v>
      </c>
      <c r="B17" s="55"/>
      <c r="C17" s="55"/>
      <c r="D17" s="55"/>
      <c r="E17" s="55"/>
      <c r="F17" s="55"/>
      <c r="G17" s="55"/>
      <c r="H17" s="55"/>
      <c r="I17" s="55"/>
      <c r="J17" s="55"/>
      <c r="K17" s="55"/>
      <c r="L17" s="55"/>
      <c r="M17" s="55"/>
      <c r="N17" s="55"/>
      <c r="O17" s="55"/>
      <c r="P17" s="55"/>
      <c r="Q17" s="55"/>
    </row>
    <row r="18" spans="1:29" ht="22.5" customHeight="1">
      <c r="A18" s="31" t="s">
        <v>148</v>
      </c>
      <c r="B18" s="55"/>
      <c r="C18" s="55"/>
      <c r="D18" s="55"/>
      <c r="E18" s="55"/>
      <c r="F18" s="55"/>
      <c r="G18" s="55"/>
      <c r="H18" s="55"/>
      <c r="I18" s="55"/>
      <c r="J18" s="55"/>
      <c r="K18" s="55"/>
      <c r="L18" s="55"/>
      <c r="M18" s="55"/>
      <c r="N18" s="55"/>
      <c r="O18" s="55"/>
      <c r="P18" s="55"/>
      <c r="Q18" s="55"/>
    </row>
    <row r="19" spans="1:29" ht="22.5" customHeight="1">
      <c r="A19" s="31"/>
      <c r="B19" s="55"/>
      <c r="C19" s="55"/>
      <c r="D19" s="55"/>
      <c r="E19" s="55"/>
      <c r="F19" s="55"/>
      <c r="G19" s="55"/>
      <c r="H19" s="55"/>
      <c r="I19" s="55"/>
      <c r="J19" s="55"/>
      <c r="K19" s="55"/>
      <c r="L19" s="55"/>
      <c r="M19" s="55"/>
      <c r="N19" s="55"/>
      <c r="O19" s="55"/>
      <c r="P19" s="55"/>
      <c r="Q19" s="55"/>
    </row>
    <row r="20" spans="1:29" ht="22.5" customHeight="1">
      <c r="A20" s="31"/>
      <c r="B20" s="55" t="s">
        <v>149</v>
      </c>
      <c r="C20" s="55"/>
      <c r="D20" s="55"/>
      <c r="E20" s="55"/>
      <c r="F20" s="55"/>
      <c r="G20" s="55"/>
      <c r="H20" s="55"/>
      <c r="I20" s="55"/>
      <c r="J20" s="55"/>
      <c r="K20" s="55" t="str">
        <f>": "&amp;'bảng tổng hợp'!E27</f>
        <v>: 2</v>
      </c>
      <c r="L20" s="55"/>
      <c r="M20" s="55" t="s">
        <v>105</v>
      </c>
      <c r="N20" s="55"/>
      <c r="O20" s="86">
        <f>ROUND('bảng tổng hợp'!E28,1)</f>
        <v>1</v>
      </c>
      <c r="P20" s="57" t="s">
        <v>106</v>
      </c>
      <c r="Q20" s="55"/>
    </row>
    <row r="21" spans="1:29" ht="22.5" customHeight="1">
      <c r="A21" s="31"/>
      <c r="B21" s="55" t="s">
        <v>74</v>
      </c>
      <c r="C21" s="55"/>
      <c r="D21" s="55"/>
      <c r="E21" s="55"/>
      <c r="F21" s="55"/>
      <c r="G21" s="55"/>
      <c r="H21" s="55"/>
      <c r="I21" s="55"/>
      <c r="J21" s="55"/>
      <c r="K21" s="55" t="str">
        <f>": "&amp;'bảng tổng hợp'!D27</f>
        <v>: 171</v>
      </c>
      <c r="L21" s="55"/>
      <c r="M21" s="55" t="s">
        <v>105</v>
      </c>
      <c r="N21" s="55"/>
      <c r="O21" s="86">
        <f>ROUND('bảng tổng hợp'!D28,1)</f>
        <v>87.7</v>
      </c>
      <c r="P21" s="57" t="s">
        <v>106</v>
      </c>
      <c r="Q21" s="55"/>
    </row>
    <row r="22" spans="1:29" ht="22.5" customHeight="1">
      <c r="A22" s="31"/>
      <c r="B22" s="55" t="s">
        <v>70</v>
      </c>
      <c r="C22" s="55"/>
      <c r="D22" s="55"/>
      <c r="E22" s="55"/>
      <c r="F22" s="55"/>
      <c r="G22" s="55"/>
      <c r="H22" s="55"/>
      <c r="I22" s="55"/>
      <c r="J22" s="55"/>
      <c r="K22" s="55" t="str">
        <f>": "&amp;'bảng tổng hợp'!F27</f>
        <v>: 22</v>
      </c>
      <c r="L22" s="55"/>
      <c r="M22" s="55" t="s">
        <v>105</v>
      </c>
      <c r="N22" s="55"/>
      <c r="O22" s="86">
        <f>ROUND('bảng tổng hợp'!F28,1)</f>
        <v>11.3</v>
      </c>
      <c r="P22" s="57" t="s">
        <v>106</v>
      </c>
      <c r="Q22" s="55"/>
    </row>
    <row r="23" spans="1:29" ht="22.5" customHeight="1">
      <c r="A23" s="31"/>
      <c r="B23" s="55"/>
      <c r="C23" s="55"/>
      <c r="D23" s="55"/>
      <c r="E23" s="55"/>
      <c r="F23" s="55"/>
      <c r="G23" s="55"/>
      <c r="H23" s="55"/>
      <c r="I23" s="55"/>
      <c r="J23" s="55"/>
      <c r="K23" s="55"/>
      <c r="L23" s="55"/>
      <c r="M23" s="55"/>
      <c r="N23" s="55"/>
      <c r="O23" s="86"/>
      <c r="P23" s="55"/>
      <c r="Q23" s="55"/>
    </row>
    <row r="24" spans="1:29" ht="22.5" customHeight="1">
      <c r="A24" s="55"/>
      <c r="B24" s="55"/>
      <c r="C24" s="55"/>
      <c r="D24" s="55"/>
      <c r="E24" s="55"/>
      <c r="F24" s="55"/>
      <c r="G24" s="55"/>
      <c r="H24" s="55"/>
      <c r="I24" s="55"/>
      <c r="J24" s="55"/>
      <c r="K24" s="55"/>
      <c r="L24" s="55"/>
      <c r="M24" s="55"/>
      <c r="N24" s="55"/>
      <c r="O24" s="86"/>
      <c r="P24" s="55"/>
      <c r="Q24" s="55"/>
    </row>
    <row r="25" spans="1:29" ht="22.5" customHeight="1">
      <c r="A25" s="56" t="s">
        <v>104</v>
      </c>
      <c r="B25" s="55"/>
      <c r="C25" s="55"/>
      <c r="D25" s="55"/>
      <c r="E25" s="55"/>
      <c r="F25" s="55"/>
      <c r="G25" s="55"/>
      <c r="H25" s="55"/>
      <c r="I25" s="31"/>
      <c r="J25" s="31"/>
      <c r="K25" s="31"/>
      <c r="L25" s="31"/>
      <c r="M25" s="31"/>
      <c r="N25" s="31"/>
      <c r="O25" s="87"/>
      <c r="P25" s="31"/>
      <c r="Q25" s="55"/>
    </row>
    <row r="26" spans="1:29" ht="29.25" customHeight="1">
      <c r="A26" s="55"/>
      <c r="B26" s="55"/>
      <c r="C26" s="55"/>
      <c r="D26" s="55"/>
      <c r="E26" s="55"/>
      <c r="F26" s="55"/>
      <c r="G26" s="55"/>
      <c r="H26" s="55"/>
      <c r="I26" s="59"/>
      <c r="J26" s="124"/>
      <c r="K26" s="124"/>
      <c r="L26" s="55"/>
      <c r="M26" s="124"/>
      <c r="N26" s="124"/>
      <c r="O26" s="88"/>
      <c r="P26" s="57"/>
      <c r="Q26" s="55"/>
      <c r="R26" s="128" t="s">
        <v>107</v>
      </c>
      <c r="S26" s="128"/>
      <c r="T26" s="128"/>
      <c r="U26" s="128"/>
      <c r="V26" s="128"/>
      <c r="W26" s="128"/>
      <c r="X26" s="128"/>
      <c r="Y26" s="128"/>
      <c r="Z26" s="128"/>
      <c r="AC26" s="52" t="s">
        <v>83</v>
      </c>
    </row>
    <row r="27" spans="1:29" ht="29.25" customHeight="1">
      <c r="A27" s="55"/>
      <c r="B27" s="55" t="s">
        <v>108</v>
      </c>
      <c r="C27" s="55"/>
      <c r="D27" s="55"/>
      <c r="E27" s="55"/>
      <c r="F27" s="55"/>
      <c r="G27" s="55"/>
      <c r="H27" s="55"/>
      <c r="I27" s="60"/>
      <c r="J27" s="124" t="str">
        <f>": "&amp;'bảng tổng hợp'!H27</f>
        <v>: 5</v>
      </c>
      <c r="K27" s="124"/>
      <c r="L27" s="55"/>
      <c r="M27" s="124" t="s">
        <v>105</v>
      </c>
      <c r="N27" s="124"/>
      <c r="O27" s="88">
        <f>ROUND('bảng tổng hợp'!H28,1)</f>
        <v>2.6</v>
      </c>
      <c r="P27" s="57" t="s">
        <v>106</v>
      </c>
      <c r="Q27" s="55"/>
      <c r="R27" s="128"/>
      <c r="S27" s="128"/>
      <c r="T27" s="128"/>
      <c r="U27" s="128"/>
      <c r="V27" s="128"/>
      <c r="W27" s="128"/>
      <c r="X27" s="128"/>
      <c r="Y27" s="128"/>
      <c r="Z27" s="128"/>
      <c r="AB27" s="52" t="s">
        <v>109</v>
      </c>
      <c r="AC27" s="54">
        <f>O33/100</f>
        <v>5.0000000000000001E-3</v>
      </c>
    </row>
    <row r="28" spans="1:29" ht="29.25" customHeight="1">
      <c r="A28" s="55"/>
      <c r="B28" s="55" t="s">
        <v>110</v>
      </c>
      <c r="C28" s="55"/>
      <c r="D28" s="55"/>
      <c r="E28" s="55"/>
      <c r="F28" s="55"/>
      <c r="G28" s="55"/>
      <c r="H28" s="55"/>
      <c r="I28" s="59"/>
      <c r="J28" s="124" t="str">
        <f>": "&amp;'bảng tổng hợp'!G27</f>
        <v>: 188</v>
      </c>
      <c r="K28" s="124"/>
      <c r="L28" s="55"/>
      <c r="M28" s="124" t="s">
        <v>105</v>
      </c>
      <c r="N28" s="124"/>
      <c r="O28" s="88">
        <f>ROUND('bảng tổng hợp'!G28,1)</f>
        <v>96.4</v>
      </c>
      <c r="P28" s="57" t="s">
        <v>106</v>
      </c>
      <c r="Q28" s="55"/>
      <c r="AB28" s="52" t="s">
        <v>111</v>
      </c>
      <c r="AC28" s="54">
        <f t="shared" ref="AC28:AC31" si="1">O34/100</f>
        <v>5.0000000000000001E-3</v>
      </c>
    </row>
    <row r="29" spans="1:29" ht="29.25" customHeight="1">
      <c r="A29" s="55"/>
      <c r="B29" s="55" t="s">
        <v>112</v>
      </c>
      <c r="C29" s="55"/>
      <c r="D29" s="55"/>
      <c r="E29" s="55"/>
      <c r="F29" s="55"/>
      <c r="G29" s="55"/>
      <c r="H29" s="55"/>
      <c r="I29" s="59"/>
      <c r="J29" s="124" t="str">
        <f>": "&amp;'bảng tổng hợp'!I27</f>
        <v>: 2</v>
      </c>
      <c r="K29" s="124"/>
      <c r="L29" s="55"/>
      <c r="M29" s="124" t="s">
        <v>105</v>
      </c>
      <c r="N29" s="124"/>
      <c r="O29" s="88">
        <f>ROUND('bảng tổng hợp'!I28,1)</f>
        <v>1</v>
      </c>
      <c r="P29" s="57" t="s">
        <v>106</v>
      </c>
      <c r="Q29" s="55"/>
      <c r="AB29" s="52" t="s">
        <v>74</v>
      </c>
      <c r="AC29" s="54">
        <f t="shared" si="1"/>
        <v>0.85099999999999998</v>
      </c>
    </row>
    <row r="30" spans="1:29" ht="22.5" customHeight="1">
      <c r="A30" s="55"/>
      <c r="B30" s="55"/>
      <c r="C30" s="55"/>
      <c r="D30" s="55"/>
      <c r="E30" s="55"/>
      <c r="F30" s="55"/>
      <c r="G30" s="55"/>
      <c r="H30" s="55"/>
      <c r="I30" s="61"/>
      <c r="J30" s="61"/>
      <c r="K30" s="61"/>
      <c r="L30" s="61"/>
      <c r="M30" s="61"/>
      <c r="N30" s="61"/>
      <c r="O30" s="89"/>
      <c r="P30" s="61"/>
      <c r="Q30" s="55"/>
      <c r="AB30" s="52" t="s">
        <v>75</v>
      </c>
      <c r="AC30" s="54">
        <f t="shared" si="1"/>
        <v>7.2000000000000008E-2</v>
      </c>
    </row>
    <row r="31" spans="1:29" ht="22.5" customHeight="1">
      <c r="A31" s="56" t="s">
        <v>113</v>
      </c>
      <c r="B31" s="31"/>
      <c r="C31" s="31"/>
      <c r="D31" s="31"/>
      <c r="E31" s="31"/>
      <c r="F31" s="31"/>
      <c r="G31" s="31"/>
      <c r="H31" s="31"/>
      <c r="I31" s="55"/>
      <c r="J31" s="55"/>
      <c r="K31" s="55"/>
      <c r="L31" s="34"/>
      <c r="M31" s="34"/>
      <c r="N31" s="31"/>
      <c r="O31" s="87"/>
      <c r="P31" s="31"/>
      <c r="Q31" s="55"/>
      <c r="AB31" s="52" t="s">
        <v>76</v>
      </c>
      <c r="AC31" s="54">
        <f t="shared" si="1"/>
        <v>7.2000000000000008E-2</v>
      </c>
    </row>
    <row r="32" spans="1:29" ht="22.5" customHeight="1">
      <c r="A32" s="31"/>
      <c r="B32" s="31"/>
      <c r="C32" s="31"/>
      <c r="D32" s="31"/>
      <c r="E32" s="31"/>
      <c r="F32" s="31"/>
      <c r="G32" s="31"/>
      <c r="H32" s="31"/>
      <c r="I32" s="55"/>
      <c r="J32" s="55"/>
      <c r="K32" s="55"/>
      <c r="L32" s="34"/>
      <c r="M32" s="34"/>
      <c r="N32" s="31"/>
      <c r="O32" s="87"/>
      <c r="P32" s="31"/>
      <c r="Q32" s="55"/>
    </row>
    <row r="33" spans="1:29" ht="29.25" hidden="1" customHeight="1">
      <c r="A33" s="55"/>
      <c r="B33" s="55" t="s">
        <v>114</v>
      </c>
      <c r="C33" s="55"/>
      <c r="D33" s="55"/>
      <c r="E33" s="55"/>
      <c r="F33" s="55"/>
      <c r="G33" s="55"/>
      <c r="H33" s="55"/>
      <c r="I33" s="59"/>
      <c r="J33" s="124" t="str">
        <f>": "&amp;'bảng tổng hợp'!M27</f>
        <v>: 1</v>
      </c>
      <c r="K33" s="124"/>
      <c r="L33" s="55"/>
      <c r="M33" s="124" t="s">
        <v>105</v>
      </c>
      <c r="N33" s="124"/>
      <c r="O33" s="88">
        <f>ROUND('bảng tổng hợp'!M28,1)</f>
        <v>0.5</v>
      </c>
      <c r="P33" s="57" t="s">
        <v>106</v>
      </c>
      <c r="Q33" s="55"/>
    </row>
    <row r="34" spans="1:29" ht="29.25" customHeight="1">
      <c r="A34" s="55"/>
      <c r="B34" s="55" t="s">
        <v>115</v>
      </c>
      <c r="C34" s="55"/>
      <c r="D34" s="55"/>
      <c r="E34" s="55"/>
      <c r="F34" s="55"/>
      <c r="G34" s="55"/>
      <c r="H34" s="55"/>
      <c r="I34" s="59"/>
      <c r="J34" s="124" t="str">
        <f>": "&amp;'bảng tổng hợp'!M27</f>
        <v>: 1</v>
      </c>
      <c r="K34" s="124"/>
      <c r="L34" s="55"/>
      <c r="M34" s="124" t="s">
        <v>105</v>
      </c>
      <c r="N34" s="124"/>
      <c r="O34" s="88">
        <f>ROUND('bảng tổng hợp'!M28,1)</f>
        <v>0.5</v>
      </c>
      <c r="P34" s="57" t="s">
        <v>106</v>
      </c>
      <c r="Q34" s="55"/>
    </row>
    <row r="35" spans="1:29" ht="29.25" customHeight="1">
      <c r="A35" s="55"/>
      <c r="B35" s="55" t="s">
        <v>110</v>
      </c>
      <c r="C35" s="55"/>
      <c r="D35" s="55"/>
      <c r="E35" s="55"/>
      <c r="F35" s="55"/>
      <c r="G35" s="55"/>
      <c r="H35" s="55"/>
      <c r="I35" s="59"/>
      <c r="J35" s="124" t="str">
        <f>": "&amp;'bảng tổng hợp'!J27</f>
        <v>: 166</v>
      </c>
      <c r="K35" s="124"/>
      <c r="L35" s="55"/>
      <c r="M35" s="124" t="s">
        <v>105</v>
      </c>
      <c r="N35" s="124"/>
      <c r="O35" s="88">
        <f>ROUND('bảng tổng hợp'!J28,1)</f>
        <v>85.1</v>
      </c>
      <c r="P35" s="57" t="s">
        <v>106</v>
      </c>
      <c r="Q35" s="55"/>
    </row>
    <row r="36" spans="1:29" ht="29.25" customHeight="1">
      <c r="A36" s="55"/>
      <c r="B36" s="55" t="s">
        <v>116</v>
      </c>
      <c r="C36" s="55"/>
      <c r="D36" s="55"/>
      <c r="E36" s="55"/>
      <c r="F36" s="55"/>
      <c r="G36" s="55"/>
      <c r="H36" s="55"/>
      <c r="I36" s="59"/>
      <c r="J36" s="124" t="str">
        <f>": "&amp;'bảng tổng hợp'!K27</f>
        <v>: 14</v>
      </c>
      <c r="K36" s="124"/>
      <c r="L36" s="55"/>
      <c r="M36" s="124" t="s">
        <v>105</v>
      </c>
      <c r="N36" s="124"/>
      <c r="O36" s="88">
        <f>ROUND('bảng tổng hợp'!K28,1)</f>
        <v>7.2</v>
      </c>
      <c r="P36" s="57" t="s">
        <v>106</v>
      </c>
      <c r="Q36" s="55"/>
    </row>
    <row r="37" spans="1:29" ht="29.25" customHeight="1">
      <c r="A37" s="55"/>
      <c r="B37" s="55" t="s">
        <v>117</v>
      </c>
      <c r="C37" s="55"/>
      <c r="D37" s="55"/>
      <c r="E37" s="55"/>
      <c r="F37" s="55"/>
      <c r="G37" s="55"/>
      <c r="H37" s="55"/>
      <c r="I37" s="59"/>
      <c r="J37" s="124" t="str">
        <f>": "&amp;'bảng tổng hợp'!L27</f>
        <v>: 14</v>
      </c>
      <c r="K37" s="124"/>
      <c r="L37" s="59"/>
      <c r="M37" s="124" t="s">
        <v>105</v>
      </c>
      <c r="N37" s="124"/>
      <c r="O37" s="88">
        <f>ROUND('bảng tổng hợp'!L28,1)</f>
        <v>7.2</v>
      </c>
      <c r="P37" s="57" t="s">
        <v>106</v>
      </c>
      <c r="Q37" s="55"/>
    </row>
    <row r="38" spans="1:29" ht="22.5" customHeight="1">
      <c r="A38" s="31"/>
      <c r="B38" s="55"/>
      <c r="C38" s="55"/>
      <c r="D38" s="55"/>
      <c r="E38" s="55"/>
      <c r="F38" s="55"/>
      <c r="G38" s="55"/>
      <c r="H38" s="55"/>
      <c r="I38" s="55"/>
      <c r="J38" s="55"/>
      <c r="K38" s="55"/>
      <c r="L38" s="55"/>
      <c r="M38" s="55"/>
      <c r="N38" s="55"/>
      <c r="O38" s="86"/>
      <c r="P38" s="55"/>
      <c r="Q38" s="55"/>
    </row>
    <row r="39" spans="1:29" ht="29.25" customHeight="1">
      <c r="A39" s="55"/>
      <c r="B39" s="55"/>
      <c r="C39" s="55"/>
      <c r="D39" s="55"/>
      <c r="E39" s="55"/>
      <c r="F39" s="55"/>
      <c r="G39" s="55"/>
      <c r="H39" s="55"/>
      <c r="I39" s="55"/>
      <c r="J39" s="55"/>
      <c r="K39" s="55"/>
      <c r="L39" s="55"/>
      <c r="M39" s="55"/>
      <c r="N39" s="55"/>
      <c r="O39" s="86"/>
      <c r="P39" s="55"/>
      <c r="Q39" s="55"/>
    </row>
    <row r="40" spans="1:29" ht="22.5" customHeight="1">
      <c r="A40" s="31" t="s">
        <v>118</v>
      </c>
      <c r="B40" s="55"/>
      <c r="C40" s="55"/>
      <c r="D40" s="55"/>
      <c r="E40" s="55"/>
      <c r="F40" s="55"/>
      <c r="G40" s="55"/>
      <c r="H40" s="55"/>
      <c r="I40" s="55"/>
      <c r="J40" s="55"/>
      <c r="K40" s="55"/>
      <c r="L40" s="55"/>
      <c r="M40" s="55"/>
      <c r="N40" s="55"/>
      <c r="O40" s="86"/>
      <c r="P40" s="55"/>
      <c r="Q40" s="55"/>
      <c r="R40" s="128" t="s">
        <v>119</v>
      </c>
      <c r="S40" s="128"/>
      <c r="T40" s="128"/>
      <c r="U40" s="128"/>
      <c r="V40" s="128"/>
      <c r="W40" s="128"/>
      <c r="X40" s="128"/>
      <c r="Y40" s="128"/>
      <c r="Z40" s="128"/>
    </row>
    <row r="41" spans="1:29" ht="22.5" customHeight="1">
      <c r="A41" s="55"/>
      <c r="B41" s="55"/>
      <c r="C41" s="55"/>
      <c r="D41" s="55"/>
      <c r="E41" s="55"/>
      <c r="F41" s="55"/>
      <c r="G41" s="55"/>
      <c r="H41" s="55"/>
      <c r="I41" s="55"/>
      <c r="J41" s="55"/>
      <c r="K41" s="55"/>
      <c r="L41" s="55"/>
      <c r="M41" s="55"/>
      <c r="N41" s="55"/>
      <c r="O41" s="86"/>
      <c r="P41" s="55"/>
      <c r="Q41" s="55"/>
      <c r="R41" s="128"/>
      <c r="S41" s="128"/>
      <c r="T41" s="128"/>
      <c r="U41" s="128"/>
      <c r="V41" s="128"/>
      <c r="W41" s="128"/>
      <c r="X41" s="128"/>
      <c r="Y41" s="128"/>
      <c r="Z41" s="128"/>
    </row>
    <row r="42" spans="1:29" ht="29.25" customHeight="1">
      <c r="A42" s="55"/>
      <c r="B42" s="55" t="s">
        <v>120</v>
      </c>
      <c r="C42" s="55"/>
      <c r="D42" s="55"/>
      <c r="E42" s="55"/>
      <c r="F42" s="55"/>
      <c r="G42" s="55"/>
      <c r="H42" s="55"/>
      <c r="I42" s="123" t="str">
        <f>": "&amp;'bảng tổng hợp'!N27</f>
        <v>: 4</v>
      </c>
      <c r="J42" s="124"/>
      <c r="K42" s="55"/>
      <c r="L42" s="124" t="s">
        <v>105</v>
      </c>
      <c r="M42" s="124"/>
      <c r="N42" s="55"/>
      <c r="O42" s="88">
        <f>ROUND('bảng tổng hợp'!N28,1)</f>
        <v>2.1</v>
      </c>
      <c r="P42" s="57" t="s">
        <v>106</v>
      </c>
      <c r="Q42" s="55"/>
    </row>
    <row r="43" spans="1:29" ht="29.25" customHeight="1">
      <c r="A43" s="55"/>
      <c r="B43" s="55" t="s">
        <v>121</v>
      </c>
      <c r="C43" s="55"/>
      <c r="D43" s="55"/>
      <c r="E43" s="55"/>
      <c r="F43" s="55"/>
      <c r="G43" s="55"/>
      <c r="H43" s="55"/>
      <c r="I43" s="123" t="str">
        <f>": "&amp;'bảng tổng hợp'!P27</f>
        <v>: 22</v>
      </c>
      <c r="J43" s="124"/>
      <c r="K43" s="55"/>
      <c r="L43" s="124" t="s">
        <v>105</v>
      </c>
      <c r="M43" s="124"/>
      <c r="N43" s="55"/>
      <c r="O43" s="88">
        <f>ROUND('bảng tổng hợp'!P28,1)</f>
        <v>11.3</v>
      </c>
      <c r="P43" s="57" t="s">
        <v>106</v>
      </c>
      <c r="Q43" s="55"/>
      <c r="AC43" s="52" t="s">
        <v>83</v>
      </c>
    </row>
    <row r="44" spans="1:29" ht="29.25" customHeight="1">
      <c r="A44" s="55"/>
      <c r="B44" s="55" t="s">
        <v>122</v>
      </c>
      <c r="C44" s="55"/>
      <c r="D44" s="55"/>
      <c r="E44" s="55"/>
      <c r="F44" s="55"/>
      <c r="G44" s="55"/>
      <c r="H44" s="55"/>
      <c r="I44" s="123" t="str">
        <f>": "&amp;'bảng tổng hợp'!Q27</f>
        <v>: 29</v>
      </c>
      <c r="J44" s="124"/>
      <c r="K44" s="55"/>
      <c r="L44" s="124" t="s">
        <v>105</v>
      </c>
      <c r="M44" s="124"/>
      <c r="N44" s="55"/>
      <c r="O44" s="88">
        <f>ROUND('bảng tổng hợp'!Q28,1)</f>
        <v>14.9</v>
      </c>
      <c r="P44" s="57" t="s">
        <v>106</v>
      </c>
      <c r="Q44" s="55"/>
      <c r="AB44" s="51" t="s">
        <v>123</v>
      </c>
      <c r="AC44" s="54">
        <f>O42/100</f>
        <v>2.1000000000000001E-2</v>
      </c>
    </row>
    <row r="45" spans="1:29" ht="29.25" customHeight="1">
      <c r="A45" s="55"/>
      <c r="B45" s="55" t="s">
        <v>150</v>
      </c>
      <c r="C45" s="55"/>
      <c r="D45" s="55"/>
      <c r="E45" s="55"/>
      <c r="F45" s="55"/>
      <c r="G45" s="55"/>
      <c r="H45" s="55"/>
      <c r="I45" s="123" t="str">
        <f>": "&amp;'bảng tổng hợp'!O27</f>
        <v>: 0</v>
      </c>
      <c r="J45" s="124"/>
      <c r="K45" s="55"/>
      <c r="L45" s="124" t="s">
        <v>105</v>
      </c>
      <c r="M45" s="124"/>
      <c r="N45" s="55"/>
      <c r="O45" s="88">
        <f>ROUND('bảng tổng hợp'!O28,1)</f>
        <v>0</v>
      </c>
      <c r="P45" s="57" t="s">
        <v>106</v>
      </c>
      <c r="Q45" s="55"/>
      <c r="AB45" s="51" t="s">
        <v>150</v>
      </c>
      <c r="AC45" s="54">
        <f>O45/100</f>
        <v>0</v>
      </c>
    </row>
    <row r="46" spans="1:29" ht="29.25" customHeight="1">
      <c r="A46" s="55"/>
      <c r="B46" s="55" t="s">
        <v>124</v>
      </c>
      <c r="C46" s="55"/>
      <c r="D46" s="55"/>
      <c r="E46" s="55"/>
      <c r="F46" s="55"/>
      <c r="G46" s="55"/>
      <c r="H46" s="55"/>
      <c r="I46" s="123" t="str">
        <f>": "&amp;'bảng tổng hợp'!R27</f>
        <v>: 0</v>
      </c>
      <c r="J46" s="124"/>
      <c r="K46" s="55"/>
      <c r="L46" s="124" t="s">
        <v>105</v>
      </c>
      <c r="M46" s="124"/>
      <c r="N46" s="55"/>
      <c r="O46" s="88">
        <f>ROUND('bảng tổng hợp'!R28,1)</f>
        <v>0</v>
      </c>
      <c r="P46" s="57" t="s">
        <v>106</v>
      </c>
      <c r="Q46" s="55"/>
      <c r="AB46" s="51" t="s">
        <v>125</v>
      </c>
      <c r="AC46" s="54">
        <f>O43/100</f>
        <v>0.113</v>
      </c>
    </row>
    <row r="47" spans="1:29" ht="22.5" customHeight="1">
      <c r="A47" s="55"/>
      <c r="B47" s="55"/>
      <c r="C47" s="55"/>
      <c r="D47" s="55"/>
      <c r="E47" s="55"/>
      <c r="F47" s="55"/>
      <c r="G47" s="55"/>
      <c r="H47" s="55"/>
      <c r="I47" s="61"/>
      <c r="J47" s="61"/>
      <c r="K47" s="61"/>
      <c r="L47" s="61"/>
      <c r="M47" s="61"/>
      <c r="N47" s="61"/>
      <c r="O47" s="89"/>
      <c r="P47" s="61"/>
      <c r="Q47" s="55"/>
      <c r="AB47" s="51" t="s">
        <v>126</v>
      </c>
      <c r="AC47" s="54">
        <f>O44/100</f>
        <v>0.14899999999999999</v>
      </c>
    </row>
    <row r="48" spans="1:29" ht="22.5" customHeight="1">
      <c r="A48" s="31" t="s">
        <v>127</v>
      </c>
      <c r="B48" s="31"/>
      <c r="C48" s="31"/>
      <c r="D48" s="31"/>
      <c r="E48" s="31"/>
      <c r="F48" s="31"/>
      <c r="G48" s="31"/>
      <c r="H48" s="31"/>
      <c r="I48" s="31"/>
      <c r="J48" s="31"/>
      <c r="K48" s="31"/>
      <c r="L48" s="34"/>
      <c r="M48" s="34"/>
      <c r="N48" s="31"/>
      <c r="O48" s="87"/>
      <c r="P48" s="31"/>
      <c r="Q48" s="55"/>
      <c r="AB48" s="51" t="s">
        <v>128</v>
      </c>
      <c r="AC48" s="54">
        <f t="shared" ref="AC48" si="2">O46/100</f>
        <v>0</v>
      </c>
    </row>
    <row r="49" spans="1:29" ht="22.5" customHeight="1">
      <c r="A49" s="31"/>
      <c r="B49" s="31"/>
      <c r="C49" s="31"/>
      <c r="D49" s="31"/>
      <c r="E49" s="31"/>
      <c r="F49" s="31"/>
      <c r="G49" s="31"/>
      <c r="H49" s="31"/>
      <c r="I49" s="31"/>
      <c r="J49" s="31"/>
      <c r="K49" s="31"/>
      <c r="L49" s="34"/>
      <c r="M49" s="34"/>
      <c r="N49" s="31"/>
      <c r="O49" s="87"/>
      <c r="P49" s="31"/>
      <c r="Q49" s="55"/>
    </row>
    <row r="50" spans="1:29" ht="29.25" customHeight="1">
      <c r="A50" s="55"/>
      <c r="B50" s="55" t="s">
        <v>129</v>
      </c>
      <c r="C50" s="55"/>
      <c r="D50" s="55"/>
      <c r="E50" s="55"/>
      <c r="F50" s="55"/>
      <c r="G50" s="55"/>
      <c r="H50" s="55"/>
      <c r="I50" s="123" t="str">
        <f>": "&amp;'bảng tổng hợp'!S27</f>
        <v>: 124</v>
      </c>
      <c r="J50" s="124"/>
      <c r="K50" s="55"/>
      <c r="L50" s="124" t="s">
        <v>105</v>
      </c>
      <c r="M50" s="124"/>
      <c r="N50" s="55"/>
      <c r="O50" s="88">
        <f>ROUND('bảng tổng hợp'!S28,1)</f>
        <v>63.6</v>
      </c>
      <c r="P50" s="57" t="s">
        <v>106</v>
      </c>
      <c r="Q50" s="55"/>
    </row>
    <row r="51" spans="1:29" ht="29.25" customHeight="1">
      <c r="A51" s="55"/>
      <c r="B51" s="55" t="s">
        <v>130</v>
      </c>
      <c r="C51" s="55"/>
      <c r="D51" s="55"/>
      <c r="E51" s="55"/>
      <c r="F51" s="55"/>
      <c r="G51" s="55"/>
      <c r="H51" s="55"/>
      <c r="I51" s="123" t="str">
        <f>": "&amp;'bảng tổng hợp'!T27</f>
        <v>: 57</v>
      </c>
      <c r="J51" s="124"/>
      <c r="K51" s="55"/>
      <c r="L51" s="124" t="s">
        <v>105</v>
      </c>
      <c r="M51" s="124"/>
      <c r="N51" s="55"/>
      <c r="O51" s="88">
        <f>ROUND('bảng tổng hợp'!T28,1)</f>
        <v>29.2</v>
      </c>
      <c r="P51" s="57" t="s">
        <v>106</v>
      </c>
      <c r="Q51" s="55"/>
    </row>
    <row r="52" spans="1:29" ht="29.25" customHeight="1">
      <c r="A52" s="55"/>
      <c r="B52" s="55" t="s">
        <v>131</v>
      </c>
      <c r="C52" s="55"/>
      <c r="D52" s="55"/>
      <c r="E52" s="55"/>
      <c r="F52" s="55"/>
      <c r="G52" s="55"/>
      <c r="H52" s="55"/>
      <c r="I52" s="123" t="str">
        <f>": "&amp;'bảng tổng hợp'!U27</f>
        <v>: 14</v>
      </c>
      <c r="J52" s="124"/>
      <c r="K52" s="55"/>
      <c r="L52" s="124" t="s">
        <v>105</v>
      </c>
      <c r="M52" s="124"/>
      <c r="N52" s="55"/>
      <c r="O52" s="88">
        <f>ROUND('bảng tổng hợp'!U28,1)</f>
        <v>7.2</v>
      </c>
      <c r="P52" s="57" t="s">
        <v>106</v>
      </c>
      <c r="Q52" s="55"/>
    </row>
    <row r="53" spans="1:29" ht="22.5" customHeight="1">
      <c r="A53" s="55"/>
      <c r="B53" s="55"/>
      <c r="C53" s="55"/>
      <c r="D53" s="55"/>
      <c r="E53" s="55"/>
      <c r="F53" s="55"/>
      <c r="G53" s="55"/>
      <c r="H53" s="55"/>
      <c r="I53" s="61"/>
      <c r="J53" s="61"/>
      <c r="K53" s="61"/>
      <c r="L53" s="61"/>
      <c r="M53" s="61"/>
      <c r="N53" s="61"/>
      <c r="O53" s="61"/>
      <c r="P53" s="61"/>
      <c r="Q53" s="55"/>
    </row>
    <row r="54" spans="1:29" ht="22.5" customHeight="1">
      <c r="A54" s="31" t="s">
        <v>132</v>
      </c>
      <c r="B54" s="31"/>
      <c r="C54" s="31"/>
      <c r="D54" s="31"/>
      <c r="E54" s="31"/>
      <c r="F54" s="31"/>
      <c r="G54" s="31"/>
      <c r="H54" s="31"/>
      <c r="I54" s="31"/>
      <c r="J54" s="31"/>
      <c r="K54" s="31"/>
      <c r="L54" s="34"/>
      <c r="M54" s="34"/>
      <c r="N54" s="31"/>
      <c r="O54" s="31"/>
      <c r="P54" s="31"/>
      <c r="Q54" s="55"/>
      <c r="R54" s="58"/>
      <c r="S54" s="58"/>
      <c r="T54" s="58"/>
      <c r="U54" s="58"/>
      <c r="V54" s="58"/>
      <c r="W54" s="58"/>
      <c r="X54" s="58"/>
      <c r="Y54" s="58"/>
      <c r="Z54" s="58"/>
    </row>
    <row r="55" spans="1:29" ht="22.5" customHeight="1">
      <c r="A55" s="55"/>
      <c r="B55" s="55"/>
      <c r="C55" s="55"/>
      <c r="D55" s="55"/>
      <c r="E55" s="55"/>
      <c r="F55" s="55"/>
      <c r="G55" s="55"/>
      <c r="H55" s="55"/>
      <c r="I55" s="61"/>
      <c r="J55" s="61"/>
      <c r="K55" s="61"/>
      <c r="L55" s="61"/>
      <c r="M55" s="61"/>
      <c r="N55" s="61"/>
      <c r="O55" s="61"/>
      <c r="P55" s="61"/>
      <c r="Q55" s="55"/>
      <c r="R55" s="128" t="s">
        <v>133</v>
      </c>
      <c r="S55" s="128"/>
      <c r="T55" s="128"/>
      <c r="U55" s="128"/>
      <c r="V55" s="128"/>
      <c r="W55" s="128"/>
      <c r="X55" s="128"/>
      <c r="Y55" s="128"/>
      <c r="Z55" s="128"/>
    </row>
    <row r="56" spans="1:29" ht="32.25" customHeight="1">
      <c r="A56" s="125" t="s">
        <v>134</v>
      </c>
      <c r="B56" s="125"/>
      <c r="C56" s="125"/>
      <c r="D56" s="125"/>
      <c r="E56" s="125"/>
      <c r="F56" s="125"/>
      <c r="G56" s="125"/>
      <c r="H56" s="125"/>
      <c r="I56" s="125"/>
      <c r="J56" s="125"/>
      <c r="K56" s="125"/>
      <c r="L56" s="125"/>
      <c r="M56" s="125"/>
      <c r="N56" s="125"/>
      <c r="O56" s="125"/>
      <c r="P56" s="125"/>
      <c r="Q56" s="125"/>
      <c r="R56" s="128"/>
      <c r="S56" s="128"/>
      <c r="T56" s="128"/>
      <c r="U56" s="128"/>
      <c r="V56" s="128"/>
      <c r="W56" s="128"/>
      <c r="X56" s="128"/>
      <c r="Y56" s="128"/>
      <c r="Z56" s="128"/>
    </row>
    <row r="57" spans="1:29" ht="32.25" customHeight="1">
      <c r="A57" s="125"/>
      <c r="B57" s="125"/>
      <c r="C57" s="125"/>
      <c r="D57" s="125"/>
      <c r="E57" s="125"/>
      <c r="F57" s="125"/>
      <c r="G57" s="125"/>
      <c r="H57" s="125"/>
      <c r="I57" s="125"/>
      <c r="J57" s="125"/>
      <c r="K57" s="125"/>
      <c r="L57" s="125"/>
      <c r="M57" s="125"/>
      <c r="N57" s="125"/>
      <c r="O57" s="125"/>
      <c r="P57" s="125"/>
      <c r="Q57" s="125"/>
      <c r="AC57" s="52" t="s">
        <v>83</v>
      </c>
    </row>
    <row r="58" spans="1:29" ht="18">
      <c r="A58" s="62"/>
      <c r="B58" s="62"/>
      <c r="C58" s="62"/>
      <c r="D58" s="62"/>
      <c r="E58" s="62"/>
      <c r="F58" s="62"/>
      <c r="G58" s="62"/>
      <c r="H58" s="62"/>
      <c r="I58" s="62"/>
      <c r="J58" s="62"/>
      <c r="K58" s="62"/>
      <c r="L58" s="62"/>
      <c r="M58" s="62"/>
      <c r="N58" s="62"/>
      <c r="O58" s="62"/>
      <c r="P58" s="62"/>
      <c r="Q58" s="62"/>
      <c r="AB58" s="51" t="s">
        <v>135</v>
      </c>
      <c r="AC58" s="54">
        <f>O50/100</f>
        <v>0.63600000000000001</v>
      </c>
    </row>
    <row r="59" spans="1:29" ht="18">
      <c r="A59" s="55" t="s">
        <v>136</v>
      </c>
      <c r="B59" s="55"/>
      <c r="C59" s="55"/>
      <c r="D59" s="55"/>
      <c r="E59" s="55"/>
      <c r="F59" s="55"/>
      <c r="G59" s="55"/>
      <c r="H59" s="55"/>
      <c r="I59" s="55"/>
      <c r="J59" s="55"/>
      <c r="K59" s="55"/>
      <c r="L59" s="55"/>
      <c r="M59" s="55"/>
      <c r="N59" s="55"/>
      <c r="O59" s="55"/>
      <c r="P59" s="55"/>
      <c r="Q59" s="55"/>
      <c r="AB59" s="51" t="s">
        <v>137</v>
      </c>
      <c r="AC59" s="54">
        <f t="shared" ref="AC59:AC60" si="3">O51/100</f>
        <v>0.29199999999999998</v>
      </c>
    </row>
    <row r="60" spans="1:29" ht="18">
      <c r="A60" s="55"/>
      <c r="B60" s="55"/>
      <c r="C60" s="55"/>
      <c r="D60" s="55"/>
      <c r="E60" s="55"/>
      <c r="F60" s="55"/>
      <c r="G60" s="55"/>
      <c r="H60" s="55"/>
      <c r="I60" s="55"/>
      <c r="J60" s="55"/>
      <c r="K60" s="55"/>
      <c r="L60" s="55"/>
      <c r="M60" s="55"/>
      <c r="N60" s="55"/>
      <c r="O60" s="55"/>
      <c r="P60" s="55"/>
      <c r="Q60" s="55"/>
      <c r="AB60" s="51" t="s">
        <v>138</v>
      </c>
      <c r="AC60" s="54">
        <f t="shared" si="3"/>
        <v>7.2000000000000008E-2</v>
      </c>
    </row>
    <row r="61" spans="1:29" ht="30.75" customHeight="1">
      <c r="A61" s="125" t="s">
        <v>139</v>
      </c>
      <c r="B61" s="125"/>
      <c r="C61" s="125"/>
      <c r="D61" s="125"/>
      <c r="E61" s="125"/>
      <c r="F61" s="125"/>
      <c r="G61" s="125"/>
      <c r="H61" s="125"/>
      <c r="I61" s="125"/>
      <c r="J61" s="125"/>
      <c r="K61" s="125"/>
      <c r="L61" s="125"/>
      <c r="M61" s="125"/>
      <c r="N61" s="125"/>
      <c r="O61" s="125"/>
      <c r="P61" s="125"/>
      <c r="Q61" s="125"/>
      <c r="AB61" s="51"/>
    </row>
    <row r="62" spans="1:29" ht="30.75" customHeight="1">
      <c r="A62" s="125"/>
      <c r="B62" s="125"/>
      <c r="C62" s="125"/>
      <c r="D62" s="125"/>
      <c r="E62" s="125"/>
      <c r="F62" s="125"/>
      <c r="G62" s="125"/>
      <c r="H62" s="125"/>
      <c r="I62" s="125"/>
      <c r="J62" s="125"/>
      <c r="K62" s="125"/>
      <c r="L62" s="125"/>
      <c r="M62" s="125"/>
      <c r="N62" s="125"/>
      <c r="O62" s="125"/>
      <c r="P62" s="125"/>
      <c r="Q62" s="125"/>
    </row>
    <row r="63" spans="1:29" ht="18">
      <c r="A63" s="55"/>
      <c r="B63" s="55"/>
      <c r="C63" s="55"/>
      <c r="D63" s="55"/>
      <c r="E63" s="55"/>
      <c r="F63" s="55"/>
      <c r="G63" s="55"/>
      <c r="H63" s="55"/>
      <c r="I63" s="55"/>
      <c r="J63" s="55"/>
      <c r="K63" s="55"/>
      <c r="L63" s="55"/>
      <c r="M63" s="55"/>
      <c r="N63" s="55"/>
      <c r="O63" s="55"/>
      <c r="P63" s="55"/>
      <c r="Q63" s="55"/>
    </row>
    <row r="64" spans="1:29" ht="21.75" customHeight="1">
      <c r="A64" s="126" t="s">
        <v>140</v>
      </c>
      <c r="B64" s="126"/>
      <c r="C64" s="126"/>
      <c r="D64" s="126"/>
      <c r="E64" s="126"/>
      <c r="F64" s="126"/>
      <c r="G64" s="126"/>
      <c r="H64" s="126"/>
      <c r="I64" s="126"/>
      <c r="J64" s="126"/>
      <c r="K64" s="126"/>
      <c r="L64" s="126"/>
      <c r="M64" s="126"/>
      <c r="N64" s="126"/>
      <c r="O64" s="126"/>
      <c r="P64" s="126"/>
      <c r="Q64" s="126"/>
    </row>
    <row r="65" spans="1:28" ht="21.75" customHeight="1">
      <c r="A65" s="126"/>
      <c r="B65" s="126"/>
      <c r="C65" s="126"/>
      <c r="D65" s="126"/>
      <c r="E65" s="126"/>
      <c r="F65" s="126"/>
      <c r="G65" s="126"/>
      <c r="H65" s="126"/>
      <c r="I65" s="126"/>
      <c r="J65" s="126"/>
      <c r="K65" s="126"/>
      <c r="L65" s="126"/>
      <c r="M65" s="126"/>
      <c r="N65" s="126"/>
      <c r="O65" s="126"/>
      <c r="P65" s="126"/>
      <c r="Q65" s="126"/>
    </row>
    <row r="66" spans="1:28" ht="18">
      <c r="A66" s="55"/>
      <c r="B66" s="55"/>
      <c r="C66" s="55"/>
      <c r="D66" s="55"/>
      <c r="E66" s="55"/>
      <c r="F66" s="55"/>
      <c r="G66" s="55"/>
      <c r="H66" s="55"/>
      <c r="I66" s="55"/>
      <c r="J66" s="55"/>
      <c r="K66" s="55"/>
      <c r="L66" s="55"/>
      <c r="M66" s="55"/>
      <c r="N66" s="55"/>
      <c r="O66" s="55"/>
      <c r="P66" s="55"/>
      <c r="Q66" s="55"/>
    </row>
    <row r="67" spans="1:28" ht="25.5" customHeight="1">
      <c r="A67" s="31" t="s">
        <v>141</v>
      </c>
      <c r="B67" s="55"/>
      <c r="C67" s="55"/>
      <c r="D67" s="55"/>
      <c r="E67" s="55"/>
      <c r="F67" s="55"/>
      <c r="G67" s="55"/>
      <c r="H67" s="55"/>
      <c r="I67" s="55"/>
      <c r="J67" s="55"/>
      <c r="K67" s="55"/>
      <c r="L67" s="55"/>
      <c r="M67" s="55"/>
      <c r="N67" s="55"/>
      <c r="O67" s="55"/>
      <c r="P67" s="55"/>
      <c r="Q67" s="55"/>
    </row>
    <row r="68" spans="1:28" ht="25.5" customHeight="1">
      <c r="A68" s="55" t="s">
        <v>142</v>
      </c>
      <c r="B68" s="55"/>
      <c r="C68" s="55"/>
      <c r="D68" s="55"/>
      <c r="E68" s="55"/>
      <c r="F68" s="55"/>
      <c r="G68" s="55"/>
      <c r="H68" s="55"/>
      <c r="I68" s="55"/>
      <c r="J68" s="55"/>
      <c r="K68" s="55"/>
      <c r="L68" s="55"/>
      <c r="M68" s="55"/>
      <c r="N68" s="55"/>
      <c r="O68" s="55"/>
      <c r="P68" s="55"/>
      <c r="Q68" s="55"/>
      <c r="S68" s="63"/>
      <c r="Y68" s="63"/>
    </row>
    <row r="69" spans="1:28" ht="25.5" customHeight="1">
      <c r="A69" s="55" t="s">
        <v>143</v>
      </c>
      <c r="B69" s="55"/>
      <c r="C69" s="55"/>
      <c r="D69" s="55"/>
      <c r="E69" s="55"/>
      <c r="F69" s="55"/>
      <c r="G69" s="55"/>
      <c r="H69" s="55"/>
      <c r="I69" s="55"/>
      <c r="J69" s="55"/>
      <c r="K69" s="55"/>
      <c r="L69" s="55"/>
      <c r="M69" s="55"/>
      <c r="N69" s="55"/>
      <c r="O69" s="55"/>
      <c r="P69" s="55"/>
      <c r="Q69" s="55"/>
      <c r="R69" s="127" t="s">
        <v>144</v>
      </c>
      <c r="S69" s="127"/>
      <c r="T69" s="127"/>
      <c r="U69" s="127"/>
      <c r="W69" s="7"/>
      <c r="X69" s="127" t="s">
        <v>85</v>
      </c>
      <c r="Y69" s="127"/>
      <c r="Z69" s="127"/>
    </row>
    <row r="70" spans="1:28" ht="25.5" customHeight="1">
      <c r="A70" s="55" t="s">
        <v>145</v>
      </c>
      <c r="B70" s="55"/>
      <c r="C70" s="55"/>
      <c r="D70" s="55"/>
      <c r="E70" s="55"/>
      <c r="F70" s="55"/>
      <c r="G70" s="55"/>
      <c r="H70" s="55"/>
      <c r="I70" s="55"/>
      <c r="J70" s="55"/>
      <c r="K70" s="55"/>
      <c r="L70" s="55"/>
      <c r="M70" s="55"/>
      <c r="N70" s="55"/>
      <c r="O70" s="55"/>
      <c r="P70" s="55"/>
      <c r="Q70" s="55"/>
    </row>
    <row r="71" spans="1:28" ht="25.5" customHeight="1">
      <c r="A71" s="55" t="s">
        <v>146</v>
      </c>
      <c r="B71" s="55"/>
      <c r="C71" s="55"/>
      <c r="D71" s="55"/>
      <c r="E71" s="55"/>
      <c r="F71" s="55"/>
      <c r="G71" s="55"/>
      <c r="H71" s="55"/>
      <c r="I71" s="55"/>
      <c r="J71" s="55"/>
      <c r="K71" s="55"/>
      <c r="L71" s="55"/>
      <c r="M71" s="55"/>
      <c r="N71" s="55"/>
      <c r="O71" s="55"/>
      <c r="P71" s="55"/>
      <c r="Q71" s="55"/>
    </row>
    <row r="72" spans="1:28" ht="25.5" customHeight="1">
      <c r="A72" s="55" t="s">
        <v>147</v>
      </c>
      <c r="B72" s="55"/>
      <c r="C72" s="55"/>
      <c r="D72" s="55"/>
      <c r="E72" s="55"/>
      <c r="F72" s="55"/>
      <c r="G72" s="55"/>
      <c r="H72" s="55"/>
      <c r="I72" s="55"/>
      <c r="J72" s="55"/>
      <c r="K72" s="55"/>
      <c r="L72" s="55"/>
      <c r="M72" s="55"/>
      <c r="N72" s="55"/>
      <c r="O72" s="55"/>
      <c r="P72" s="55"/>
      <c r="Q72" s="55"/>
    </row>
    <row r="73" spans="1:28" ht="17.399999999999999">
      <c r="R73" s="127" t="s">
        <v>152</v>
      </c>
      <c r="S73" s="127"/>
      <c r="T73" s="127"/>
      <c r="U73" s="127"/>
      <c r="W73" s="127" t="s">
        <v>460</v>
      </c>
      <c r="X73" s="127"/>
      <c r="Y73" s="127"/>
      <c r="Z73" s="127"/>
      <c r="AA73" s="127"/>
      <c r="AB73" s="7"/>
    </row>
  </sheetData>
  <mergeCells count="53">
    <mergeCell ref="W73:AA73"/>
    <mergeCell ref="R73:U73"/>
    <mergeCell ref="R26:Z27"/>
    <mergeCell ref="J27:K27"/>
    <mergeCell ref="M27:N27"/>
    <mergeCell ref="J37:K37"/>
    <mergeCell ref="M37:N37"/>
    <mergeCell ref="J28:K28"/>
    <mergeCell ref="M28:N28"/>
    <mergeCell ref="J29:K29"/>
    <mergeCell ref="M29:N29"/>
    <mergeCell ref="J33:K33"/>
    <mergeCell ref="M33:N33"/>
    <mergeCell ref="J34:K34"/>
    <mergeCell ref="M34:N34"/>
    <mergeCell ref="J35:K35"/>
    <mergeCell ref="M35:N35"/>
    <mergeCell ref="I4:R4"/>
    <mergeCell ref="A1:G1"/>
    <mergeCell ref="I1:Q1"/>
    <mergeCell ref="R1:Z2"/>
    <mergeCell ref="A2:G2"/>
    <mergeCell ref="I2:Q2"/>
    <mergeCell ref="A6:Q7"/>
    <mergeCell ref="J26:K26"/>
    <mergeCell ref="M26:N26"/>
    <mergeCell ref="D11:Q12"/>
    <mergeCell ref="A8:R8"/>
    <mergeCell ref="J36:K36"/>
    <mergeCell ref="M36:N36"/>
    <mergeCell ref="R40:Z41"/>
    <mergeCell ref="I42:J42"/>
    <mergeCell ref="L42:M42"/>
    <mergeCell ref="I44:J44"/>
    <mergeCell ref="L44:M44"/>
    <mergeCell ref="I43:J43"/>
    <mergeCell ref="L43:M43"/>
    <mergeCell ref="I45:J45"/>
    <mergeCell ref="L45:M45"/>
    <mergeCell ref="A64:Q65"/>
    <mergeCell ref="R69:U69"/>
    <mergeCell ref="X69:Z69"/>
    <mergeCell ref="I51:J51"/>
    <mergeCell ref="L51:M51"/>
    <mergeCell ref="I52:J52"/>
    <mergeCell ref="L52:M52"/>
    <mergeCell ref="R55:Z56"/>
    <mergeCell ref="A56:Q57"/>
    <mergeCell ref="I46:J46"/>
    <mergeCell ref="L46:M46"/>
    <mergeCell ref="I50:J50"/>
    <mergeCell ref="L50:M50"/>
    <mergeCell ref="A61:Q62"/>
  </mergeCells>
  <pageMargins left="0.7" right="0.7" top="0.75" bottom="0.75" header="0.3" footer="0.3"/>
  <pageSetup scale="77" orientation="portrait" r:id="rId1"/>
  <rowBreaks count="1" manualBreakCount="1">
    <brk id="38" max="16383" man="1"/>
  </rowBreaks>
  <colBreaks count="1" manualBreakCount="1">
    <brk id="17"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1]!In_2_trang_tong_hop">
                <anchor moveWithCells="1" sizeWithCells="1">
                  <from>
                    <xdr:col>17</xdr:col>
                    <xdr:colOff>38100</xdr:colOff>
                    <xdr:row>0</xdr:row>
                    <xdr:rowOff>45720</xdr:rowOff>
                  </from>
                  <to>
                    <xdr:col>19</xdr:col>
                    <xdr:colOff>464820</xdr:colOff>
                    <xdr:row>8</xdr:row>
                    <xdr:rowOff>160020</xdr:rowOff>
                  </to>
                </anchor>
              </controlPr>
            </control>
          </mc:Choice>
        </mc:AlternateContent>
        <mc:AlternateContent xmlns:mc="http://schemas.openxmlformats.org/markup-compatibility/2006">
          <mc:Choice Requires="x14">
            <control shapeId="1026" r:id="rId5" name="Button 2">
              <controlPr defaultSize="0" print="0" autoFill="0" autoPict="0" macro="[1]!Xuat_PDF_bieu_do">
                <anchor moveWithCells="1" sizeWithCells="1">
                  <from>
                    <xdr:col>20</xdr:col>
                    <xdr:colOff>480060</xdr:colOff>
                    <xdr:row>0</xdr:row>
                    <xdr:rowOff>45720</xdr:rowOff>
                  </from>
                  <to>
                    <xdr:col>23</xdr:col>
                    <xdr:colOff>220980</xdr:colOff>
                    <xdr:row>8</xdr:row>
                    <xdr:rowOff>160020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dimension ref="A1"/>
  <sheetViews>
    <sheetView workbookViewId="0">
      <selection activeCell="G20" sqref="G20"/>
    </sheetView>
  </sheetViews>
  <sheetFormatPr defaultRowHeight="14.4"/>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dimension ref="A1:I93"/>
  <sheetViews>
    <sheetView topLeftCell="A48" zoomScale="69" zoomScaleNormal="69" workbookViewId="0">
      <selection activeCell="T34" sqref="T34"/>
    </sheetView>
  </sheetViews>
  <sheetFormatPr defaultColWidth="9.109375" defaultRowHeight="18"/>
  <cols>
    <col min="1" max="1" width="9.109375" style="42"/>
    <col min="2" max="2" width="21.5546875" style="42" customWidth="1"/>
    <col min="3" max="3" width="13.6640625" style="42" customWidth="1"/>
    <col min="4" max="4" width="12.109375" style="42" customWidth="1"/>
    <col min="5" max="5" width="10.6640625" style="42" customWidth="1"/>
    <col min="6" max="6" width="21.6640625" style="42" customWidth="1"/>
    <col min="7" max="7" width="15.109375" style="42" customWidth="1"/>
    <col min="8" max="8" width="10.33203125" style="42" customWidth="1"/>
    <col min="9" max="9" width="11.33203125" style="42" customWidth="1"/>
    <col min="10" max="257" width="9.109375" style="42"/>
    <col min="258" max="258" width="21.5546875" style="42" customWidth="1"/>
    <col min="259" max="259" width="13.6640625" style="42" customWidth="1"/>
    <col min="260" max="260" width="12.109375" style="42" customWidth="1"/>
    <col min="261" max="261" width="10.6640625" style="42" customWidth="1"/>
    <col min="262" max="262" width="21.6640625" style="42" customWidth="1"/>
    <col min="263" max="263" width="15.109375" style="42" customWidth="1"/>
    <col min="264" max="264" width="10.33203125" style="42" customWidth="1"/>
    <col min="265" max="265" width="11.33203125" style="42" customWidth="1"/>
    <col min="266" max="513" width="9.109375" style="42"/>
    <col min="514" max="514" width="21.5546875" style="42" customWidth="1"/>
    <col min="515" max="515" width="13.6640625" style="42" customWidth="1"/>
    <col min="516" max="516" width="12.109375" style="42" customWidth="1"/>
    <col min="517" max="517" width="10.6640625" style="42" customWidth="1"/>
    <col min="518" max="518" width="21.6640625" style="42" customWidth="1"/>
    <col min="519" max="519" width="15.109375" style="42" customWidth="1"/>
    <col min="520" max="520" width="10.33203125" style="42" customWidth="1"/>
    <col min="521" max="521" width="11.33203125" style="42" customWidth="1"/>
    <col min="522" max="769" width="9.109375" style="42"/>
    <col min="770" max="770" width="21.5546875" style="42" customWidth="1"/>
    <col min="771" max="771" width="13.6640625" style="42" customWidth="1"/>
    <col min="772" max="772" width="12.109375" style="42" customWidth="1"/>
    <col min="773" max="773" width="10.6640625" style="42" customWidth="1"/>
    <col min="774" max="774" width="21.6640625" style="42" customWidth="1"/>
    <col min="775" max="775" width="15.109375" style="42" customWidth="1"/>
    <col min="776" max="776" width="10.33203125" style="42" customWidth="1"/>
    <col min="777" max="777" width="11.33203125" style="42" customWidth="1"/>
    <col min="778" max="1025" width="9.109375" style="42"/>
    <col min="1026" max="1026" width="21.5546875" style="42" customWidth="1"/>
    <col min="1027" max="1027" width="13.6640625" style="42" customWidth="1"/>
    <col min="1028" max="1028" width="12.109375" style="42" customWidth="1"/>
    <col min="1029" max="1029" width="10.6640625" style="42" customWidth="1"/>
    <col min="1030" max="1030" width="21.6640625" style="42" customWidth="1"/>
    <col min="1031" max="1031" width="15.109375" style="42" customWidth="1"/>
    <col min="1032" max="1032" width="10.33203125" style="42" customWidth="1"/>
    <col min="1033" max="1033" width="11.33203125" style="42" customWidth="1"/>
    <col min="1034" max="1281" width="9.109375" style="42"/>
    <col min="1282" max="1282" width="21.5546875" style="42" customWidth="1"/>
    <col min="1283" max="1283" width="13.6640625" style="42" customWidth="1"/>
    <col min="1284" max="1284" width="12.109375" style="42" customWidth="1"/>
    <col min="1285" max="1285" width="10.6640625" style="42" customWidth="1"/>
    <col min="1286" max="1286" width="21.6640625" style="42" customWidth="1"/>
    <col min="1287" max="1287" width="15.109375" style="42" customWidth="1"/>
    <col min="1288" max="1288" width="10.33203125" style="42" customWidth="1"/>
    <col min="1289" max="1289" width="11.33203125" style="42" customWidth="1"/>
    <col min="1290" max="1537" width="9.109375" style="42"/>
    <col min="1538" max="1538" width="21.5546875" style="42" customWidth="1"/>
    <col min="1539" max="1539" width="13.6640625" style="42" customWidth="1"/>
    <col min="1540" max="1540" width="12.109375" style="42" customWidth="1"/>
    <col min="1541" max="1541" width="10.6640625" style="42" customWidth="1"/>
    <col min="1542" max="1542" width="21.6640625" style="42" customWidth="1"/>
    <col min="1543" max="1543" width="15.109375" style="42" customWidth="1"/>
    <col min="1544" max="1544" width="10.33203125" style="42" customWidth="1"/>
    <col min="1545" max="1545" width="11.33203125" style="42" customWidth="1"/>
    <col min="1546" max="1793" width="9.109375" style="42"/>
    <col min="1794" max="1794" width="21.5546875" style="42" customWidth="1"/>
    <col min="1795" max="1795" width="13.6640625" style="42" customWidth="1"/>
    <col min="1796" max="1796" width="12.109375" style="42" customWidth="1"/>
    <col min="1797" max="1797" width="10.6640625" style="42" customWidth="1"/>
    <col min="1798" max="1798" width="21.6640625" style="42" customWidth="1"/>
    <col min="1799" max="1799" width="15.109375" style="42" customWidth="1"/>
    <col min="1800" max="1800" width="10.33203125" style="42" customWidth="1"/>
    <col min="1801" max="1801" width="11.33203125" style="42" customWidth="1"/>
    <col min="1802" max="2049" width="9.109375" style="42"/>
    <col min="2050" max="2050" width="21.5546875" style="42" customWidth="1"/>
    <col min="2051" max="2051" width="13.6640625" style="42" customWidth="1"/>
    <col min="2052" max="2052" width="12.109375" style="42" customWidth="1"/>
    <col min="2053" max="2053" width="10.6640625" style="42" customWidth="1"/>
    <col min="2054" max="2054" width="21.6640625" style="42" customWidth="1"/>
    <col min="2055" max="2055" width="15.109375" style="42" customWidth="1"/>
    <col min="2056" max="2056" width="10.33203125" style="42" customWidth="1"/>
    <col min="2057" max="2057" width="11.33203125" style="42" customWidth="1"/>
    <col min="2058" max="2305" width="9.109375" style="42"/>
    <col min="2306" max="2306" width="21.5546875" style="42" customWidth="1"/>
    <col min="2307" max="2307" width="13.6640625" style="42" customWidth="1"/>
    <col min="2308" max="2308" width="12.109375" style="42" customWidth="1"/>
    <col min="2309" max="2309" width="10.6640625" style="42" customWidth="1"/>
    <col min="2310" max="2310" width="21.6640625" style="42" customWidth="1"/>
    <col min="2311" max="2311" width="15.109375" style="42" customWidth="1"/>
    <col min="2312" max="2312" width="10.33203125" style="42" customWidth="1"/>
    <col min="2313" max="2313" width="11.33203125" style="42" customWidth="1"/>
    <col min="2314" max="2561" width="9.109375" style="42"/>
    <col min="2562" max="2562" width="21.5546875" style="42" customWidth="1"/>
    <col min="2563" max="2563" width="13.6640625" style="42" customWidth="1"/>
    <col min="2564" max="2564" width="12.109375" style="42" customWidth="1"/>
    <col min="2565" max="2565" width="10.6640625" style="42" customWidth="1"/>
    <col min="2566" max="2566" width="21.6640625" style="42" customWidth="1"/>
    <col min="2567" max="2567" width="15.109375" style="42" customWidth="1"/>
    <col min="2568" max="2568" width="10.33203125" style="42" customWidth="1"/>
    <col min="2569" max="2569" width="11.33203125" style="42" customWidth="1"/>
    <col min="2570" max="2817" width="9.109375" style="42"/>
    <col min="2818" max="2818" width="21.5546875" style="42" customWidth="1"/>
    <col min="2819" max="2819" width="13.6640625" style="42" customWidth="1"/>
    <col min="2820" max="2820" width="12.109375" style="42" customWidth="1"/>
    <col min="2821" max="2821" width="10.6640625" style="42" customWidth="1"/>
    <col min="2822" max="2822" width="21.6640625" style="42" customWidth="1"/>
    <col min="2823" max="2823" width="15.109375" style="42" customWidth="1"/>
    <col min="2824" max="2824" width="10.33203125" style="42" customWidth="1"/>
    <col min="2825" max="2825" width="11.33203125" style="42" customWidth="1"/>
    <col min="2826" max="3073" width="9.109375" style="42"/>
    <col min="3074" max="3074" width="21.5546875" style="42" customWidth="1"/>
    <col min="3075" max="3075" width="13.6640625" style="42" customWidth="1"/>
    <col min="3076" max="3076" width="12.109375" style="42" customWidth="1"/>
    <col min="3077" max="3077" width="10.6640625" style="42" customWidth="1"/>
    <col min="3078" max="3078" width="21.6640625" style="42" customWidth="1"/>
    <col min="3079" max="3079" width="15.109375" style="42" customWidth="1"/>
    <col min="3080" max="3080" width="10.33203125" style="42" customWidth="1"/>
    <col min="3081" max="3081" width="11.33203125" style="42" customWidth="1"/>
    <col min="3082" max="3329" width="9.109375" style="42"/>
    <col min="3330" max="3330" width="21.5546875" style="42" customWidth="1"/>
    <col min="3331" max="3331" width="13.6640625" style="42" customWidth="1"/>
    <col min="3332" max="3332" width="12.109375" style="42" customWidth="1"/>
    <col min="3333" max="3333" width="10.6640625" style="42" customWidth="1"/>
    <col min="3334" max="3334" width="21.6640625" style="42" customWidth="1"/>
    <col min="3335" max="3335" width="15.109375" style="42" customWidth="1"/>
    <col min="3336" max="3336" width="10.33203125" style="42" customWidth="1"/>
    <col min="3337" max="3337" width="11.33203125" style="42" customWidth="1"/>
    <col min="3338" max="3585" width="9.109375" style="42"/>
    <col min="3586" max="3586" width="21.5546875" style="42" customWidth="1"/>
    <col min="3587" max="3587" width="13.6640625" style="42" customWidth="1"/>
    <col min="3588" max="3588" width="12.109375" style="42" customWidth="1"/>
    <col min="3589" max="3589" width="10.6640625" style="42" customWidth="1"/>
    <col min="3590" max="3590" width="21.6640625" style="42" customWidth="1"/>
    <col min="3591" max="3591" width="15.109375" style="42" customWidth="1"/>
    <col min="3592" max="3592" width="10.33203125" style="42" customWidth="1"/>
    <col min="3593" max="3593" width="11.33203125" style="42" customWidth="1"/>
    <col min="3594" max="3841" width="9.109375" style="42"/>
    <col min="3842" max="3842" width="21.5546875" style="42" customWidth="1"/>
    <col min="3843" max="3843" width="13.6640625" style="42" customWidth="1"/>
    <col min="3844" max="3844" width="12.109375" style="42" customWidth="1"/>
    <col min="3845" max="3845" width="10.6640625" style="42" customWidth="1"/>
    <col min="3846" max="3846" width="21.6640625" style="42" customWidth="1"/>
    <col min="3847" max="3847" width="15.109375" style="42" customWidth="1"/>
    <col min="3848" max="3848" width="10.33203125" style="42" customWidth="1"/>
    <col min="3849" max="3849" width="11.33203125" style="42" customWidth="1"/>
    <col min="3850" max="4097" width="9.109375" style="42"/>
    <col min="4098" max="4098" width="21.5546875" style="42" customWidth="1"/>
    <col min="4099" max="4099" width="13.6640625" style="42" customWidth="1"/>
    <col min="4100" max="4100" width="12.109375" style="42" customWidth="1"/>
    <col min="4101" max="4101" width="10.6640625" style="42" customWidth="1"/>
    <col min="4102" max="4102" width="21.6640625" style="42" customWidth="1"/>
    <col min="4103" max="4103" width="15.109375" style="42" customWidth="1"/>
    <col min="4104" max="4104" width="10.33203125" style="42" customWidth="1"/>
    <col min="4105" max="4105" width="11.33203125" style="42" customWidth="1"/>
    <col min="4106" max="4353" width="9.109375" style="42"/>
    <col min="4354" max="4354" width="21.5546875" style="42" customWidth="1"/>
    <col min="4355" max="4355" width="13.6640625" style="42" customWidth="1"/>
    <col min="4356" max="4356" width="12.109375" style="42" customWidth="1"/>
    <col min="4357" max="4357" width="10.6640625" style="42" customWidth="1"/>
    <col min="4358" max="4358" width="21.6640625" style="42" customWidth="1"/>
    <col min="4359" max="4359" width="15.109375" style="42" customWidth="1"/>
    <col min="4360" max="4360" width="10.33203125" style="42" customWidth="1"/>
    <col min="4361" max="4361" width="11.33203125" style="42" customWidth="1"/>
    <col min="4362" max="4609" width="9.109375" style="42"/>
    <col min="4610" max="4610" width="21.5546875" style="42" customWidth="1"/>
    <col min="4611" max="4611" width="13.6640625" style="42" customWidth="1"/>
    <col min="4612" max="4612" width="12.109375" style="42" customWidth="1"/>
    <col min="4613" max="4613" width="10.6640625" style="42" customWidth="1"/>
    <col min="4614" max="4614" width="21.6640625" style="42" customWidth="1"/>
    <col min="4615" max="4615" width="15.109375" style="42" customWidth="1"/>
    <col min="4616" max="4616" width="10.33203125" style="42" customWidth="1"/>
    <col min="4617" max="4617" width="11.33203125" style="42" customWidth="1"/>
    <col min="4618" max="4865" width="9.109375" style="42"/>
    <col min="4866" max="4866" width="21.5546875" style="42" customWidth="1"/>
    <col min="4867" max="4867" width="13.6640625" style="42" customWidth="1"/>
    <col min="4868" max="4868" width="12.109375" style="42" customWidth="1"/>
    <col min="4869" max="4869" width="10.6640625" style="42" customWidth="1"/>
    <col min="4870" max="4870" width="21.6640625" style="42" customWidth="1"/>
    <col min="4871" max="4871" width="15.109375" style="42" customWidth="1"/>
    <col min="4872" max="4872" width="10.33203125" style="42" customWidth="1"/>
    <col min="4873" max="4873" width="11.33203125" style="42" customWidth="1"/>
    <col min="4874" max="5121" width="9.109375" style="42"/>
    <col min="5122" max="5122" width="21.5546875" style="42" customWidth="1"/>
    <col min="5123" max="5123" width="13.6640625" style="42" customWidth="1"/>
    <col min="5124" max="5124" width="12.109375" style="42" customWidth="1"/>
    <col min="5125" max="5125" width="10.6640625" style="42" customWidth="1"/>
    <col min="5126" max="5126" width="21.6640625" style="42" customWidth="1"/>
    <col min="5127" max="5127" width="15.109375" style="42" customWidth="1"/>
    <col min="5128" max="5128" width="10.33203125" style="42" customWidth="1"/>
    <col min="5129" max="5129" width="11.33203125" style="42" customWidth="1"/>
    <col min="5130" max="5377" width="9.109375" style="42"/>
    <col min="5378" max="5378" width="21.5546875" style="42" customWidth="1"/>
    <col min="5379" max="5379" width="13.6640625" style="42" customWidth="1"/>
    <col min="5380" max="5380" width="12.109375" style="42" customWidth="1"/>
    <col min="5381" max="5381" width="10.6640625" style="42" customWidth="1"/>
    <col min="5382" max="5382" width="21.6640625" style="42" customWidth="1"/>
    <col min="5383" max="5383" width="15.109375" style="42" customWidth="1"/>
    <col min="5384" max="5384" width="10.33203125" style="42" customWidth="1"/>
    <col min="5385" max="5385" width="11.33203125" style="42" customWidth="1"/>
    <col min="5386" max="5633" width="9.109375" style="42"/>
    <col min="5634" max="5634" width="21.5546875" style="42" customWidth="1"/>
    <col min="5635" max="5635" width="13.6640625" style="42" customWidth="1"/>
    <col min="5636" max="5636" width="12.109375" style="42" customWidth="1"/>
    <col min="5637" max="5637" width="10.6640625" style="42" customWidth="1"/>
    <col min="5638" max="5638" width="21.6640625" style="42" customWidth="1"/>
    <col min="5639" max="5639" width="15.109375" style="42" customWidth="1"/>
    <col min="5640" max="5640" width="10.33203125" style="42" customWidth="1"/>
    <col min="5641" max="5641" width="11.33203125" style="42" customWidth="1"/>
    <col min="5642" max="5889" width="9.109375" style="42"/>
    <col min="5890" max="5890" width="21.5546875" style="42" customWidth="1"/>
    <col min="5891" max="5891" width="13.6640625" style="42" customWidth="1"/>
    <col min="5892" max="5892" width="12.109375" style="42" customWidth="1"/>
    <col min="5893" max="5893" width="10.6640625" style="42" customWidth="1"/>
    <col min="5894" max="5894" width="21.6640625" style="42" customWidth="1"/>
    <col min="5895" max="5895" width="15.109375" style="42" customWidth="1"/>
    <col min="5896" max="5896" width="10.33203125" style="42" customWidth="1"/>
    <col min="5897" max="5897" width="11.33203125" style="42" customWidth="1"/>
    <col min="5898" max="6145" width="9.109375" style="42"/>
    <col min="6146" max="6146" width="21.5546875" style="42" customWidth="1"/>
    <col min="6147" max="6147" width="13.6640625" style="42" customWidth="1"/>
    <col min="6148" max="6148" width="12.109375" style="42" customWidth="1"/>
    <col min="6149" max="6149" width="10.6640625" style="42" customWidth="1"/>
    <col min="6150" max="6150" width="21.6640625" style="42" customWidth="1"/>
    <col min="6151" max="6151" width="15.109375" style="42" customWidth="1"/>
    <col min="6152" max="6152" width="10.33203125" style="42" customWidth="1"/>
    <col min="6153" max="6153" width="11.33203125" style="42" customWidth="1"/>
    <col min="6154" max="6401" width="9.109375" style="42"/>
    <col min="6402" max="6402" width="21.5546875" style="42" customWidth="1"/>
    <col min="6403" max="6403" width="13.6640625" style="42" customWidth="1"/>
    <col min="6404" max="6404" width="12.109375" style="42" customWidth="1"/>
    <col min="6405" max="6405" width="10.6640625" style="42" customWidth="1"/>
    <col min="6406" max="6406" width="21.6640625" style="42" customWidth="1"/>
    <col min="6407" max="6407" width="15.109375" style="42" customWidth="1"/>
    <col min="6408" max="6408" width="10.33203125" style="42" customWidth="1"/>
    <col min="6409" max="6409" width="11.33203125" style="42" customWidth="1"/>
    <col min="6410" max="6657" width="9.109375" style="42"/>
    <col min="6658" max="6658" width="21.5546875" style="42" customWidth="1"/>
    <col min="6659" max="6659" width="13.6640625" style="42" customWidth="1"/>
    <col min="6660" max="6660" width="12.109375" style="42" customWidth="1"/>
    <col min="6661" max="6661" width="10.6640625" style="42" customWidth="1"/>
    <col min="6662" max="6662" width="21.6640625" style="42" customWidth="1"/>
    <col min="6663" max="6663" width="15.109375" style="42" customWidth="1"/>
    <col min="6664" max="6664" width="10.33203125" style="42" customWidth="1"/>
    <col min="6665" max="6665" width="11.33203125" style="42" customWidth="1"/>
    <col min="6666" max="6913" width="9.109375" style="42"/>
    <col min="6914" max="6914" width="21.5546875" style="42" customWidth="1"/>
    <col min="6915" max="6915" width="13.6640625" style="42" customWidth="1"/>
    <col min="6916" max="6916" width="12.109375" style="42" customWidth="1"/>
    <col min="6917" max="6917" width="10.6640625" style="42" customWidth="1"/>
    <col min="6918" max="6918" width="21.6640625" style="42" customWidth="1"/>
    <col min="6919" max="6919" width="15.109375" style="42" customWidth="1"/>
    <col min="6920" max="6920" width="10.33203125" style="42" customWidth="1"/>
    <col min="6921" max="6921" width="11.33203125" style="42" customWidth="1"/>
    <col min="6922" max="7169" width="9.109375" style="42"/>
    <col min="7170" max="7170" width="21.5546875" style="42" customWidth="1"/>
    <col min="7171" max="7171" width="13.6640625" style="42" customWidth="1"/>
    <col min="7172" max="7172" width="12.109375" style="42" customWidth="1"/>
    <col min="7173" max="7173" width="10.6640625" style="42" customWidth="1"/>
    <col min="7174" max="7174" width="21.6640625" style="42" customWidth="1"/>
    <col min="7175" max="7175" width="15.109375" style="42" customWidth="1"/>
    <col min="7176" max="7176" width="10.33203125" style="42" customWidth="1"/>
    <col min="7177" max="7177" width="11.33203125" style="42" customWidth="1"/>
    <col min="7178" max="7425" width="9.109375" style="42"/>
    <col min="7426" max="7426" width="21.5546875" style="42" customWidth="1"/>
    <col min="7427" max="7427" width="13.6640625" style="42" customWidth="1"/>
    <col min="7428" max="7428" width="12.109375" style="42" customWidth="1"/>
    <col min="7429" max="7429" width="10.6640625" style="42" customWidth="1"/>
    <col min="7430" max="7430" width="21.6640625" style="42" customWidth="1"/>
    <col min="7431" max="7431" width="15.109375" style="42" customWidth="1"/>
    <col min="7432" max="7432" width="10.33203125" style="42" customWidth="1"/>
    <col min="7433" max="7433" width="11.33203125" style="42" customWidth="1"/>
    <col min="7434" max="7681" width="9.109375" style="42"/>
    <col min="7682" max="7682" width="21.5546875" style="42" customWidth="1"/>
    <col min="7683" max="7683" width="13.6640625" style="42" customWidth="1"/>
    <col min="7684" max="7684" width="12.109375" style="42" customWidth="1"/>
    <col min="7685" max="7685" width="10.6640625" style="42" customWidth="1"/>
    <col min="7686" max="7686" width="21.6640625" style="42" customWidth="1"/>
    <col min="7687" max="7687" width="15.109375" style="42" customWidth="1"/>
    <col min="7688" max="7688" width="10.33203125" style="42" customWidth="1"/>
    <col min="7689" max="7689" width="11.33203125" style="42" customWidth="1"/>
    <col min="7690" max="7937" width="9.109375" style="42"/>
    <col min="7938" max="7938" width="21.5546875" style="42" customWidth="1"/>
    <col min="7939" max="7939" width="13.6640625" style="42" customWidth="1"/>
    <col min="7940" max="7940" width="12.109375" style="42" customWidth="1"/>
    <col min="7941" max="7941" width="10.6640625" style="42" customWidth="1"/>
    <col min="7942" max="7942" width="21.6640625" style="42" customWidth="1"/>
    <col min="7943" max="7943" width="15.109375" style="42" customWidth="1"/>
    <col min="7944" max="7944" width="10.33203125" style="42" customWidth="1"/>
    <col min="7945" max="7945" width="11.33203125" style="42" customWidth="1"/>
    <col min="7946" max="8193" width="9.109375" style="42"/>
    <col min="8194" max="8194" width="21.5546875" style="42" customWidth="1"/>
    <col min="8195" max="8195" width="13.6640625" style="42" customWidth="1"/>
    <col min="8196" max="8196" width="12.109375" style="42" customWidth="1"/>
    <col min="8197" max="8197" width="10.6640625" style="42" customWidth="1"/>
    <col min="8198" max="8198" width="21.6640625" style="42" customWidth="1"/>
    <col min="8199" max="8199" width="15.109375" style="42" customWidth="1"/>
    <col min="8200" max="8200" width="10.33203125" style="42" customWidth="1"/>
    <col min="8201" max="8201" width="11.33203125" style="42" customWidth="1"/>
    <col min="8202" max="8449" width="9.109375" style="42"/>
    <col min="8450" max="8450" width="21.5546875" style="42" customWidth="1"/>
    <col min="8451" max="8451" width="13.6640625" style="42" customWidth="1"/>
    <col min="8452" max="8452" width="12.109375" style="42" customWidth="1"/>
    <col min="8453" max="8453" width="10.6640625" style="42" customWidth="1"/>
    <col min="8454" max="8454" width="21.6640625" style="42" customWidth="1"/>
    <col min="8455" max="8455" width="15.109375" style="42" customWidth="1"/>
    <col min="8456" max="8456" width="10.33203125" style="42" customWidth="1"/>
    <col min="8457" max="8457" width="11.33203125" style="42" customWidth="1"/>
    <col min="8458" max="8705" width="9.109375" style="42"/>
    <col min="8706" max="8706" width="21.5546875" style="42" customWidth="1"/>
    <col min="8707" max="8707" width="13.6640625" style="42" customWidth="1"/>
    <col min="8708" max="8708" width="12.109375" style="42" customWidth="1"/>
    <col min="8709" max="8709" width="10.6640625" style="42" customWidth="1"/>
    <col min="8710" max="8710" width="21.6640625" style="42" customWidth="1"/>
    <col min="8711" max="8711" width="15.109375" style="42" customWidth="1"/>
    <col min="8712" max="8712" width="10.33203125" style="42" customWidth="1"/>
    <col min="8713" max="8713" width="11.33203125" style="42" customWidth="1"/>
    <col min="8714" max="8961" width="9.109375" style="42"/>
    <col min="8962" max="8962" width="21.5546875" style="42" customWidth="1"/>
    <col min="8963" max="8963" width="13.6640625" style="42" customWidth="1"/>
    <col min="8964" max="8964" width="12.109375" style="42" customWidth="1"/>
    <col min="8965" max="8965" width="10.6640625" style="42" customWidth="1"/>
    <col min="8966" max="8966" width="21.6640625" style="42" customWidth="1"/>
    <col min="8967" max="8967" width="15.109375" style="42" customWidth="1"/>
    <col min="8968" max="8968" width="10.33203125" style="42" customWidth="1"/>
    <col min="8969" max="8969" width="11.33203125" style="42" customWidth="1"/>
    <col min="8970" max="9217" width="9.109375" style="42"/>
    <col min="9218" max="9218" width="21.5546875" style="42" customWidth="1"/>
    <col min="9219" max="9219" width="13.6640625" style="42" customWidth="1"/>
    <col min="9220" max="9220" width="12.109375" style="42" customWidth="1"/>
    <col min="9221" max="9221" width="10.6640625" style="42" customWidth="1"/>
    <col min="9222" max="9222" width="21.6640625" style="42" customWidth="1"/>
    <col min="9223" max="9223" width="15.109375" style="42" customWidth="1"/>
    <col min="9224" max="9224" width="10.33203125" style="42" customWidth="1"/>
    <col min="9225" max="9225" width="11.33203125" style="42" customWidth="1"/>
    <col min="9226" max="9473" width="9.109375" style="42"/>
    <col min="9474" max="9474" width="21.5546875" style="42" customWidth="1"/>
    <col min="9475" max="9475" width="13.6640625" style="42" customWidth="1"/>
    <col min="9476" max="9476" width="12.109375" style="42" customWidth="1"/>
    <col min="9477" max="9477" width="10.6640625" style="42" customWidth="1"/>
    <col min="9478" max="9478" width="21.6640625" style="42" customWidth="1"/>
    <col min="9479" max="9479" width="15.109375" style="42" customWidth="1"/>
    <col min="9480" max="9480" width="10.33203125" style="42" customWidth="1"/>
    <col min="9481" max="9481" width="11.33203125" style="42" customWidth="1"/>
    <col min="9482" max="9729" width="9.109375" style="42"/>
    <col min="9730" max="9730" width="21.5546875" style="42" customWidth="1"/>
    <col min="9731" max="9731" width="13.6640625" style="42" customWidth="1"/>
    <col min="9732" max="9732" width="12.109375" style="42" customWidth="1"/>
    <col min="9733" max="9733" width="10.6640625" style="42" customWidth="1"/>
    <col min="9734" max="9734" width="21.6640625" style="42" customWidth="1"/>
    <col min="9735" max="9735" width="15.109375" style="42" customWidth="1"/>
    <col min="9736" max="9736" width="10.33203125" style="42" customWidth="1"/>
    <col min="9737" max="9737" width="11.33203125" style="42" customWidth="1"/>
    <col min="9738" max="9985" width="9.109375" style="42"/>
    <col min="9986" max="9986" width="21.5546875" style="42" customWidth="1"/>
    <col min="9987" max="9987" width="13.6640625" style="42" customWidth="1"/>
    <col min="9988" max="9988" width="12.109375" style="42" customWidth="1"/>
    <col min="9989" max="9989" width="10.6640625" style="42" customWidth="1"/>
    <col min="9990" max="9990" width="21.6640625" style="42" customWidth="1"/>
    <col min="9991" max="9991" width="15.109375" style="42" customWidth="1"/>
    <col min="9992" max="9992" width="10.33203125" style="42" customWidth="1"/>
    <col min="9993" max="9993" width="11.33203125" style="42" customWidth="1"/>
    <col min="9994" max="10241" width="9.109375" style="42"/>
    <col min="10242" max="10242" width="21.5546875" style="42" customWidth="1"/>
    <col min="10243" max="10243" width="13.6640625" style="42" customWidth="1"/>
    <col min="10244" max="10244" width="12.109375" style="42" customWidth="1"/>
    <col min="10245" max="10245" width="10.6640625" style="42" customWidth="1"/>
    <col min="10246" max="10246" width="21.6640625" style="42" customWidth="1"/>
    <col min="10247" max="10247" width="15.109375" style="42" customWidth="1"/>
    <col min="10248" max="10248" width="10.33203125" style="42" customWidth="1"/>
    <col min="10249" max="10249" width="11.33203125" style="42" customWidth="1"/>
    <col min="10250" max="10497" width="9.109375" style="42"/>
    <col min="10498" max="10498" width="21.5546875" style="42" customWidth="1"/>
    <col min="10499" max="10499" width="13.6640625" style="42" customWidth="1"/>
    <col min="10500" max="10500" width="12.109375" style="42" customWidth="1"/>
    <col min="10501" max="10501" width="10.6640625" style="42" customWidth="1"/>
    <col min="10502" max="10502" width="21.6640625" style="42" customWidth="1"/>
    <col min="10503" max="10503" width="15.109375" style="42" customWidth="1"/>
    <col min="10504" max="10504" width="10.33203125" style="42" customWidth="1"/>
    <col min="10505" max="10505" width="11.33203125" style="42" customWidth="1"/>
    <col min="10506" max="10753" width="9.109375" style="42"/>
    <col min="10754" max="10754" width="21.5546875" style="42" customWidth="1"/>
    <col min="10755" max="10755" width="13.6640625" style="42" customWidth="1"/>
    <col min="10756" max="10756" width="12.109375" style="42" customWidth="1"/>
    <col min="10757" max="10757" width="10.6640625" style="42" customWidth="1"/>
    <col min="10758" max="10758" width="21.6640625" style="42" customWidth="1"/>
    <col min="10759" max="10759" width="15.109375" style="42" customWidth="1"/>
    <col min="10760" max="10760" width="10.33203125" style="42" customWidth="1"/>
    <col min="10761" max="10761" width="11.33203125" style="42" customWidth="1"/>
    <col min="10762" max="11009" width="9.109375" style="42"/>
    <col min="11010" max="11010" width="21.5546875" style="42" customWidth="1"/>
    <col min="11011" max="11011" width="13.6640625" style="42" customWidth="1"/>
    <col min="11012" max="11012" width="12.109375" style="42" customWidth="1"/>
    <col min="11013" max="11013" width="10.6640625" style="42" customWidth="1"/>
    <col min="11014" max="11014" width="21.6640625" style="42" customWidth="1"/>
    <col min="11015" max="11015" width="15.109375" style="42" customWidth="1"/>
    <col min="11016" max="11016" width="10.33203125" style="42" customWidth="1"/>
    <col min="11017" max="11017" width="11.33203125" style="42" customWidth="1"/>
    <col min="11018" max="11265" width="9.109375" style="42"/>
    <col min="11266" max="11266" width="21.5546875" style="42" customWidth="1"/>
    <col min="11267" max="11267" width="13.6640625" style="42" customWidth="1"/>
    <col min="11268" max="11268" width="12.109375" style="42" customWidth="1"/>
    <col min="11269" max="11269" width="10.6640625" style="42" customWidth="1"/>
    <col min="11270" max="11270" width="21.6640625" style="42" customWidth="1"/>
    <col min="11271" max="11271" width="15.109375" style="42" customWidth="1"/>
    <col min="11272" max="11272" width="10.33203125" style="42" customWidth="1"/>
    <col min="11273" max="11273" width="11.33203125" style="42" customWidth="1"/>
    <col min="11274" max="11521" width="9.109375" style="42"/>
    <col min="11522" max="11522" width="21.5546875" style="42" customWidth="1"/>
    <col min="11523" max="11523" width="13.6640625" style="42" customWidth="1"/>
    <col min="11524" max="11524" width="12.109375" style="42" customWidth="1"/>
    <col min="11525" max="11525" width="10.6640625" style="42" customWidth="1"/>
    <col min="11526" max="11526" width="21.6640625" style="42" customWidth="1"/>
    <col min="11527" max="11527" width="15.109375" style="42" customWidth="1"/>
    <col min="11528" max="11528" width="10.33203125" style="42" customWidth="1"/>
    <col min="11529" max="11529" width="11.33203125" style="42" customWidth="1"/>
    <col min="11530" max="11777" width="9.109375" style="42"/>
    <col min="11778" max="11778" width="21.5546875" style="42" customWidth="1"/>
    <col min="11779" max="11779" width="13.6640625" style="42" customWidth="1"/>
    <col min="11780" max="11780" width="12.109375" style="42" customWidth="1"/>
    <col min="11781" max="11781" width="10.6640625" style="42" customWidth="1"/>
    <col min="11782" max="11782" width="21.6640625" style="42" customWidth="1"/>
    <col min="11783" max="11783" width="15.109375" style="42" customWidth="1"/>
    <col min="11784" max="11784" width="10.33203125" style="42" customWidth="1"/>
    <col min="11785" max="11785" width="11.33203125" style="42" customWidth="1"/>
    <col min="11786" max="12033" width="9.109375" style="42"/>
    <col min="12034" max="12034" width="21.5546875" style="42" customWidth="1"/>
    <col min="12035" max="12035" width="13.6640625" style="42" customWidth="1"/>
    <col min="12036" max="12036" width="12.109375" style="42" customWidth="1"/>
    <col min="12037" max="12037" width="10.6640625" style="42" customWidth="1"/>
    <col min="12038" max="12038" width="21.6640625" style="42" customWidth="1"/>
    <col min="12039" max="12039" width="15.109375" style="42" customWidth="1"/>
    <col min="12040" max="12040" width="10.33203125" style="42" customWidth="1"/>
    <col min="12041" max="12041" width="11.33203125" style="42" customWidth="1"/>
    <col min="12042" max="12289" width="9.109375" style="42"/>
    <col min="12290" max="12290" width="21.5546875" style="42" customWidth="1"/>
    <col min="12291" max="12291" width="13.6640625" style="42" customWidth="1"/>
    <col min="12292" max="12292" width="12.109375" style="42" customWidth="1"/>
    <col min="12293" max="12293" width="10.6640625" style="42" customWidth="1"/>
    <col min="12294" max="12294" width="21.6640625" style="42" customWidth="1"/>
    <col min="12295" max="12295" width="15.109375" style="42" customWidth="1"/>
    <col min="12296" max="12296" width="10.33203125" style="42" customWidth="1"/>
    <col min="12297" max="12297" width="11.33203125" style="42" customWidth="1"/>
    <col min="12298" max="12545" width="9.109375" style="42"/>
    <col min="12546" max="12546" width="21.5546875" style="42" customWidth="1"/>
    <col min="12547" max="12547" width="13.6640625" style="42" customWidth="1"/>
    <col min="12548" max="12548" width="12.109375" style="42" customWidth="1"/>
    <col min="12549" max="12549" width="10.6640625" style="42" customWidth="1"/>
    <col min="12550" max="12550" width="21.6640625" style="42" customWidth="1"/>
    <col min="12551" max="12551" width="15.109375" style="42" customWidth="1"/>
    <col min="12552" max="12552" width="10.33203125" style="42" customWidth="1"/>
    <col min="12553" max="12553" width="11.33203125" style="42" customWidth="1"/>
    <col min="12554" max="12801" width="9.109375" style="42"/>
    <col min="12802" max="12802" width="21.5546875" style="42" customWidth="1"/>
    <col min="12803" max="12803" width="13.6640625" style="42" customWidth="1"/>
    <col min="12804" max="12804" width="12.109375" style="42" customWidth="1"/>
    <col min="12805" max="12805" width="10.6640625" style="42" customWidth="1"/>
    <col min="12806" max="12806" width="21.6640625" style="42" customWidth="1"/>
    <col min="12807" max="12807" width="15.109375" style="42" customWidth="1"/>
    <col min="12808" max="12808" width="10.33203125" style="42" customWidth="1"/>
    <col min="12809" max="12809" width="11.33203125" style="42" customWidth="1"/>
    <col min="12810" max="13057" width="9.109375" style="42"/>
    <col min="13058" max="13058" width="21.5546875" style="42" customWidth="1"/>
    <col min="13059" max="13059" width="13.6640625" style="42" customWidth="1"/>
    <col min="13060" max="13060" width="12.109375" style="42" customWidth="1"/>
    <col min="13061" max="13061" width="10.6640625" style="42" customWidth="1"/>
    <col min="13062" max="13062" width="21.6640625" style="42" customWidth="1"/>
    <col min="13063" max="13063" width="15.109375" style="42" customWidth="1"/>
    <col min="13064" max="13064" width="10.33203125" style="42" customWidth="1"/>
    <col min="13065" max="13065" width="11.33203125" style="42" customWidth="1"/>
    <col min="13066" max="13313" width="9.109375" style="42"/>
    <col min="13314" max="13314" width="21.5546875" style="42" customWidth="1"/>
    <col min="13315" max="13315" width="13.6640625" style="42" customWidth="1"/>
    <col min="13316" max="13316" width="12.109375" style="42" customWidth="1"/>
    <col min="13317" max="13317" width="10.6640625" style="42" customWidth="1"/>
    <col min="13318" max="13318" width="21.6640625" style="42" customWidth="1"/>
    <col min="13319" max="13319" width="15.109375" style="42" customWidth="1"/>
    <col min="13320" max="13320" width="10.33203125" style="42" customWidth="1"/>
    <col min="13321" max="13321" width="11.33203125" style="42" customWidth="1"/>
    <col min="13322" max="13569" width="9.109375" style="42"/>
    <col min="13570" max="13570" width="21.5546875" style="42" customWidth="1"/>
    <col min="13571" max="13571" width="13.6640625" style="42" customWidth="1"/>
    <col min="13572" max="13572" width="12.109375" style="42" customWidth="1"/>
    <col min="13573" max="13573" width="10.6640625" style="42" customWidth="1"/>
    <col min="13574" max="13574" width="21.6640625" style="42" customWidth="1"/>
    <col min="13575" max="13575" width="15.109375" style="42" customWidth="1"/>
    <col min="13576" max="13576" width="10.33203125" style="42" customWidth="1"/>
    <col min="13577" max="13577" width="11.33203125" style="42" customWidth="1"/>
    <col min="13578" max="13825" width="9.109375" style="42"/>
    <col min="13826" max="13826" width="21.5546875" style="42" customWidth="1"/>
    <col min="13827" max="13827" width="13.6640625" style="42" customWidth="1"/>
    <col min="13828" max="13828" width="12.109375" style="42" customWidth="1"/>
    <col min="13829" max="13829" width="10.6640625" style="42" customWidth="1"/>
    <col min="13830" max="13830" width="21.6640625" style="42" customWidth="1"/>
    <col min="13831" max="13831" width="15.109375" style="42" customWidth="1"/>
    <col min="13832" max="13832" width="10.33203125" style="42" customWidth="1"/>
    <col min="13833" max="13833" width="11.33203125" style="42" customWidth="1"/>
    <col min="13834" max="14081" width="9.109375" style="42"/>
    <col min="14082" max="14082" width="21.5546875" style="42" customWidth="1"/>
    <col min="14083" max="14083" width="13.6640625" style="42" customWidth="1"/>
    <col min="14084" max="14084" width="12.109375" style="42" customWidth="1"/>
    <col min="14085" max="14085" width="10.6640625" style="42" customWidth="1"/>
    <col min="14086" max="14086" width="21.6640625" style="42" customWidth="1"/>
    <col min="14087" max="14087" width="15.109375" style="42" customWidth="1"/>
    <col min="14088" max="14088" width="10.33203125" style="42" customWidth="1"/>
    <col min="14089" max="14089" width="11.33203125" style="42" customWidth="1"/>
    <col min="14090" max="14337" width="9.109375" style="42"/>
    <col min="14338" max="14338" width="21.5546875" style="42" customWidth="1"/>
    <col min="14339" max="14339" width="13.6640625" style="42" customWidth="1"/>
    <col min="14340" max="14340" width="12.109375" style="42" customWidth="1"/>
    <col min="14341" max="14341" width="10.6640625" style="42" customWidth="1"/>
    <col min="14342" max="14342" width="21.6640625" style="42" customWidth="1"/>
    <col min="14343" max="14343" width="15.109375" style="42" customWidth="1"/>
    <col min="14344" max="14344" width="10.33203125" style="42" customWidth="1"/>
    <col min="14345" max="14345" width="11.33203125" style="42" customWidth="1"/>
    <col min="14346" max="14593" width="9.109375" style="42"/>
    <col min="14594" max="14594" width="21.5546875" style="42" customWidth="1"/>
    <col min="14595" max="14595" width="13.6640625" style="42" customWidth="1"/>
    <col min="14596" max="14596" width="12.109375" style="42" customWidth="1"/>
    <col min="14597" max="14597" width="10.6640625" style="42" customWidth="1"/>
    <col min="14598" max="14598" width="21.6640625" style="42" customWidth="1"/>
    <col min="14599" max="14599" width="15.109375" style="42" customWidth="1"/>
    <col min="14600" max="14600" width="10.33203125" style="42" customWidth="1"/>
    <col min="14601" max="14601" width="11.33203125" style="42" customWidth="1"/>
    <col min="14602" max="14849" width="9.109375" style="42"/>
    <col min="14850" max="14850" width="21.5546875" style="42" customWidth="1"/>
    <col min="14851" max="14851" width="13.6640625" style="42" customWidth="1"/>
    <col min="14852" max="14852" width="12.109375" style="42" customWidth="1"/>
    <col min="14853" max="14853" width="10.6640625" style="42" customWidth="1"/>
    <col min="14854" max="14854" width="21.6640625" style="42" customWidth="1"/>
    <col min="14855" max="14855" width="15.109375" style="42" customWidth="1"/>
    <col min="14856" max="14856" width="10.33203125" style="42" customWidth="1"/>
    <col min="14857" max="14857" width="11.33203125" style="42" customWidth="1"/>
    <col min="14858" max="15105" width="9.109375" style="42"/>
    <col min="15106" max="15106" width="21.5546875" style="42" customWidth="1"/>
    <col min="15107" max="15107" width="13.6640625" style="42" customWidth="1"/>
    <col min="15108" max="15108" width="12.109375" style="42" customWidth="1"/>
    <col min="15109" max="15109" width="10.6640625" style="42" customWidth="1"/>
    <col min="15110" max="15110" width="21.6640625" style="42" customWidth="1"/>
    <col min="15111" max="15111" width="15.109375" style="42" customWidth="1"/>
    <col min="15112" max="15112" width="10.33203125" style="42" customWidth="1"/>
    <col min="15113" max="15113" width="11.33203125" style="42" customWidth="1"/>
    <col min="15114" max="15361" width="9.109375" style="42"/>
    <col min="15362" max="15362" width="21.5546875" style="42" customWidth="1"/>
    <col min="15363" max="15363" width="13.6640625" style="42" customWidth="1"/>
    <col min="15364" max="15364" width="12.109375" style="42" customWidth="1"/>
    <col min="15365" max="15365" width="10.6640625" style="42" customWidth="1"/>
    <col min="15366" max="15366" width="21.6640625" style="42" customWidth="1"/>
    <col min="15367" max="15367" width="15.109375" style="42" customWidth="1"/>
    <col min="15368" max="15368" width="10.33203125" style="42" customWidth="1"/>
    <col min="15369" max="15369" width="11.33203125" style="42" customWidth="1"/>
    <col min="15370" max="15617" width="9.109375" style="42"/>
    <col min="15618" max="15618" width="21.5546875" style="42" customWidth="1"/>
    <col min="15619" max="15619" width="13.6640625" style="42" customWidth="1"/>
    <col min="15620" max="15620" width="12.109375" style="42" customWidth="1"/>
    <col min="15621" max="15621" width="10.6640625" style="42" customWidth="1"/>
    <col min="15622" max="15622" width="21.6640625" style="42" customWidth="1"/>
    <col min="15623" max="15623" width="15.109375" style="42" customWidth="1"/>
    <col min="15624" max="15624" width="10.33203125" style="42" customWidth="1"/>
    <col min="15625" max="15625" width="11.33203125" style="42" customWidth="1"/>
    <col min="15626" max="15873" width="9.109375" style="42"/>
    <col min="15874" max="15874" width="21.5546875" style="42" customWidth="1"/>
    <col min="15875" max="15875" width="13.6640625" style="42" customWidth="1"/>
    <col min="15876" max="15876" width="12.109375" style="42" customWidth="1"/>
    <col min="15877" max="15877" width="10.6640625" style="42" customWidth="1"/>
    <col min="15878" max="15878" width="21.6640625" style="42" customWidth="1"/>
    <col min="15879" max="15879" width="15.109375" style="42" customWidth="1"/>
    <col min="15880" max="15880" width="10.33203125" style="42" customWidth="1"/>
    <col min="15881" max="15881" width="11.33203125" style="42" customWidth="1"/>
    <col min="15882" max="16129" width="9.109375" style="42"/>
    <col min="16130" max="16130" width="21.5546875" style="42" customWidth="1"/>
    <col min="16131" max="16131" width="13.6640625" style="42" customWidth="1"/>
    <col min="16132" max="16132" width="12.109375" style="42" customWidth="1"/>
    <col min="16133" max="16133" width="10.6640625" style="42" customWidth="1"/>
    <col min="16134" max="16134" width="21.6640625" style="42" customWidth="1"/>
    <col min="16135" max="16135" width="15.109375" style="42" customWidth="1"/>
    <col min="16136" max="16136" width="10.33203125" style="42" customWidth="1"/>
    <col min="16137" max="16137" width="11.33203125" style="42" customWidth="1"/>
    <col min="16138" max="16384" width="9.109375" style="42"/>
  </cols>
  <sheetData>
    <row r="1" spans="1:9" ht="20.399999999999999">
      <c r="A1" s="133" t="s">
        <v>88</v>
      </c>
      <c r="B1" s="133"/>
      <c r="C1" s="133"/>
      <c r="D1" s="133"/>
      <c r="E1" s="133"/>
      <c r="F1" s="133"/>
      <c r="G1" s="133"/>
      <c r="H1" s="133"/>
      <c r="I1" s="133"/>
    </row>
    <row r="2" spans="1:9">
      <c r="A2" s="43"/>
      <c r="B2" s="134" t="s">
        <v>10</v>
      </c>
      <c r="C2" s="134"/>
      <c r="D2" s="134"/>
      <c r="E2" s="134"/>
      <c r="F2" s="134" t="s">
        <v>11</v>
      </c>
      <c r="G2" s="134"/>
      <c r="H2" s="134"/>
      <c r="I2" s="134"/>
    </row>
    <row r="3" spans="1:9" ht="31.2">
      <c r="A3" s="40"/>
      <c r="B3" s="39" t="s">
        <v>89</v>
      </c>
      <c r="C3" s="40" t="s">
        <v>29</v>
      </c>
      <c r="D3" s="40" t="s">
        <v>25</v>
      </c>
      <c r="E3" s="40" t="s">
        <v>41</v>
      </c>
      <c r="F3" s="39" t="s">
        <v>89</v>
      </c>
      <c r="G3" s="40" t="s">
        <v>29</v>
      </c>
      <c r="H3" s="40" t="s">
        <v>25</v>
      </c>
      <c r="I3" s="40" t="s">
        <v>41</v>
      </c>
    </row>
    <row r="4" spans="1:9">
      <c r="A4" s="40">
        <v>0</v>
      </c>
      <c r="B4" s="36">
        <v>0</v>
      </c>
      <c r="C4" s="36">
        <v>2.1</v>
      </c>
      <c r="D4" s="36">
        <v>2.5</v>
      </c>
      <c r="E4" s="36">
        <v>4.4000000000000004</v>
      </c>
      <c r="F4" s="36">
        <v>0</v>
      </c>
      <c r="G4" s="36">
        <v>2</v>
      </c>
      <c r="H4" s="36">
        <v>2.4</v>
      </c>
      <c r="I4" s="36">
        <v>4.2</v>
      </c>
    </row>
    <row r="5" spans="1:9">
      <c r="A5" s="40">
        <v>1</v>
      </c>
      <c r="B5" s="36">
        <v>0</v>
      </c>
      <c r="C5" s="36">
        <v>2.9</v>
      </c>
      <c r="D5" s="36">
        <v>3.4</v>
      </c>
      <c r="E5" s="36">
        <v>5.8</v>
      </c>
      <c r="F5" s="36">
        <v>0</v>
      </c>
      <c r="G5" s="36">
        <v>2.7</v>
      </c>
      <c r="H5" s="36">
        <v>3.2</v>
      </c>
      <c r="I5" s="36">
        <v>5.5</v>
      </c>
    </row>
    <row r="6" spans="1:9">
      <c r="A6" s="40">
        <v>2</v>
      </c>
      <c r="B6" s="36">
        <v>0</v>
      </c>
      <c r="C6" s="36">
        <v>3.8</v>
      </c>
      <c r="D6" s="36">
        <v>4.3</v>
      </c>
      <c r="E6" s="36">
        <v>7.1</v>
      </c>
      <c r="F6" s="36">
        <v>0</v>
      </c>
      <c r="G6" s="36">
        <v>3.4</v>
      </c>
      <c r="H6" s="36">
        <v>3.9</v>
      </c>
      <c r="I6" s="36">
        <v>6.6</v>
      </c>
    </row>
    <row r="7" spans="1:9">
      <c r="A7" s="40">
        <v>3</v>
      </c>
      <c r="B7" s="36">
        <v>0</v>
      </c>
      <c r="C7" s="36">
        <v>4.4000000000000004</v>
      </c>
      <c r="D7" s="36">
        <v>5</v>
      </c>
      <c r="E7" s="36">
        <v>8</v>
      </c>
      <c r="F7" s="36">
        <v>0</v>
      </c>
      <c r="G7" s="36">
        <v>4</v>
      </c>
      <c r="H7" s="36">
        <v>4.5</v>
      </c>
      <c r="I7" s="36">
        <v>7.5</v>
      </c>
    </row>
    <row r="8" spans="1:9">
      <c r="A8" s="40">
        <v>4</v>
      </c>
      <c r="B8" s="36">
        <v>0</v>
      </c>
      <c r="C8" s="36">
        <v>4.9000000000000004</v>
      </c>
      <c r="D8" s="36">
        <v>5.6</v>
      </c>
      <c r="E8" s="36">
        <v>8.6999999999999993</v>
      </c>
      <c r="F8" s="36">
        <v>0</v>
      </c>
      <c r="G8" s="36">
        <v>4.4000000000000004</v>
      </c>
      <c r="H8" s="36">
        <v>5</v>
      </c>
      <c r="I8" s="36">
        <v>8.1999999999999993</v>
      </c>
    </row>
    <row r="9" spans="1:9">
      <c r="A9" s="40">
        <v>5</v>
      </c>
      <c r="B9" s="36">
        <v>0</v>
      </c>
      <c r="C9" s="36">
        <v>5.3</v>
      </c>
      <c r="D9" s="36">
        <v>6</v>
      </c>
      <c r="E9" s="36">
        <v>9.3000000000000007</v>
      </c>
      <c r="F9" s="36">
        <v>0</v>
      </c>
      <c r="G9" s="36">
        <v>4.8</v>
      </c>
      <c r="H9" s="36">
        <v>5.4</v>
      </c>
      <c r="I9" s="36">
        <v>8.8000000000000007</v>
      </c>
    </row>
    <row r="10" spans="1:9">
      <c r="A10" s="40">
        <v>6</v>
      </c>
      <c r="B10" s="36">
        <v>0</v>
      </c>
      <c r="C10" s="36">
        <v>5.7</v>
      </c>
      <c r="D10" s="36">
        <v>6.4</v>
      </c>
      <c r="E10" s="36">
        <v>9.8000000000000007</v>
      </c>
      <c r="F10" s="36">
        <v>0</v>
      </c>
      <c r="G10" s="36">
        <v>5.0999999999999996</v>
      </c>
      <c r="H10" s="36">
        <v>5.7</v>
      </c>
      <c r="I10" s="36">
        <v>9.3000000000000007</v>
      </c>
    </row>
    <row r="11" spans="1:9">
      <c r="A11" s="40">
        <v>7</v>
      </c>
      <c r="B11" s="36">
        <v>0</v>
      </c>
      <c r="C11" s="36">
        <v>5.9</v>
      </c>
      <c r="D11" s="36">
        <v>6.7</v>
      </c>
      <c r="E11" s="36">
        <v>10.3</v>
      </c>
      <c r="F11" s="36">
        <v>0</v>
      </c>
      <c r="G11" s="36">
        <v>5.3</v>
      </c>
      <c r="H11" s="36">
        <v>6</v>
      </c>
      <c r="I11" s="36">
        <v>9.8000000000000007</v>
      </c>
    </row>
    <row r="12" spans="1:9">
      <c r="A12" s="40">
        <v>8</v>
      </c>
      <c r="B12" s="36">
        <v>0</v>
      </c>
      <c r="C12" s="36">
        <v>6.2</v>
      </c>
      <c r="D12" s="36">
        <v>6.9</v>
      </c>
      <c r="E12" s="36">
        <v>10.7</v>
      </c>
      <c r="F12" s="36">
        <v>0</v>
      </c>
      <c r="G12" s="36">
        <v>5.6</v>
      </c>
      <c r="H12" s="36">
        <v>6.3</v>
      </c>
      <c r="I12" s="36">
        <v>10.199999999999999</v>
      </c>
    </row>
    <row r="13" spans="1:9">
      <c r="A13" s="40">
        <v>9</v>
      </c>
      <c r="B13" s="36">
        <v>0</v>
      </c>
      <c r="C13" s="36">
        <v>6.4</v>
      </c>
      <c r="D13" s="36">
        <v>7.1</v>
      </c>
      <c r="E13" s="36">
        <v>11</v>
      </c>
      <c r="F13" s="36">
        <v>0</v>
      </c>
      <c r="G13" s="36">
        <v>5.8</v>
      </c>
      <c r="H13" s="36">
        <v>6.5</v>
      </c>
      <c r="I13" s="36">
        <v>10.5</v>
      </c>
    </row>
    <row r="14" spans="1:9">
      <c r="A14" s="40">
        <v>10</v>
      </c>
      <c r="B14" s="36">
        <v>0</v>
      </c>
      <c r="C14" s="36">
        <v>6.6</v>
      </c>
      <c r="D14" s="36">
        <v>7.4</v>
      </c>
      <c r="E14" s="36">
        <v>11.4</v>
      </c>
      <c r="F14" s="36">
        <v>0</v>
      </c>
      <c r="G14" s="36">
        <v>5.9</v>
      </c>
      <c r="H14" s="36">
        <v>6.7</v>
      </c>
      <c r="I14" s="36">
        <v>10.9</v>
      </c>
    </row>
    <row r="15" spans="1:9">
      <c r="A15" s="40">
        <v>11</v>
      </c>
      <c r="B15" s="36">
        <v>0</v>
      </c>
      <c r="C15" s="36">
        <v>6.8</v>
      </c>
      <c r="D15" s="36">
        <v>7.6</v>
      </c>
      <c r="E15" s="36">
        <v>11.7</v>
      </c>
      <c r="F15" s="36">
        <v>0</v>
      </c>
      <c r="G15" s="36">
        <v>6.1</v>
      </c>
      <c r="H15" s="36">
        <v>6.9</v>
      </c>
      <c r="I15" s="36">
        <v>11.2</v>
      </c>
    </row>
    <row r="16" spans="1:9">
      <c r="A16" s="40">
        <v>12</v>
      </c>
      <c r="B16" s="36">
        <v>0</v>
      </c>
      <c r="C16" s="36">
        <v>6.9</v>
      </c>
      <c r="D16" s="36">
        <v>7.7</v>
      </c>
      <c r="E16" s="36">
        <v>12</v>
      </c>
      <c r="F16" s="36">
        <v>0</v>
      </c>
      <c r="G16" s="36">
        <v>6.3</v>
      </c>
      <c r="H16" s="36">
        <v>7</v>
      </c>
      <c r="I16" s="36">
        <v>11.5</v>
      </c>
    </row>
    <row r="17" spans="1:9">
      <c r="A17" s="40">
        <v>13</v>
      </c>
      <c r="B17" s="36">
        <v>0</v>
      </c>
      <c r="C17" s="36">
        <v>7.1</v>
      </c>
      <c r="D17" s="36">
        <v>7.9</v>
      </c>
      <c r="E17" s="36">
        <v>12.3</v>
      </c>
      <c r="F17" s="36">
        <v>0</v>
      </c>
      <c r="G17" s="36">
        <v>6.4</v>
      </c>
      <c r="H17" s="36">
        <v>7.2</v>
      </c>
      <c r="I17" s="36">
        <v>11.8</v>
      </c>
    </row>
    <row r="18" spans="1:9">
      <c r="A18" s="40">
        <v>14</v>
      </c>
      <c r="B18" s="36">
        <v>0</v>
      </c>
      <c r="C18" s="36">
        <v>7.2</v>
      </c>
      <c r="D18" s="36">
        <v>8.1</v>
      </c>
      <c r="E18" s="36">
        <v>12.6</v>
      </c>
      <c r="F18" s="36">
        <v>0</v>
      </c>
      <c r="G18" s="36">
        <v>6.6</v>
      </c>
      <c r="H18" s="36">
        <v>7.4</v>
      </c>
      <c r="I18" s="36">
        <v>12.1</v>
      </c>
    </row>
    <row r="19" spans="1:9">
      <c r="A19" s="40">
        <v>15</v>
      </c>
      <c r="B19" s="36">
        <v>0</v>
      </c>
      <c r="C19" s="36">
        <v>7.4</v>
      </c>
      <c r="D19" s="36">
        <v>8.3000000000000007</v>
      </c>
      <c r="E19" s="36">
        <v>12.8</v>
      </c>
      <c r="F19" s="36">
        <v>0</v>
      </c>
      <c r="G19" s="36">
        <v>6.7</v>
      </c>
      <c r="H19" s="36">
        <v>7.6</v>
      </c>
      <c r="I19" s="36">
        <v>12.4</v>
      </c>
    </row>
    <row r="20" spans="1:9">
      <c r="A20" s="40">
        <v>16</v>
      </c>
      <c r="B20" s="36">
        <v>0</v>
      </c>
      <c r="C20" s="36">
        <v>7.5</v>
      </c>
      <c r="D20" s="36">
        <v>8.4</v>
      </c>
      <c r="E20" s="36">
        <v>13.1</v>
      </c>
      <c r="F20" s="36">
        <v>0</v>
      </c>
      <c r="G20" s="36">
        <v>6.9</v>
      </c>
      <c r="H20" s="36">
        <v>7.7</v>
      </c>
      <c r="I20" s="36">
        <v>12.6</v>
      </c>
    </row>
    <row r="21" spans="1:9">
      <c r="A21" s="40">
        <v>17</v>
      </c>
      <c r="B21" s="36">
        <v>0</v>
      </c>
      <c r="C21" s="36">
        <v>7.7</v>
      </c>
      <c r="D21" s="36">
        <v>8.6</v>
      </c>
      <c r="E21" s="36">
        <v>13.4</v>
      </c>
      <c r="F21" s="36">
        <v>0</v>
      </c>
      <c r="G21" s="36">
        <v>7</v>
      </c>
      <c r="H21" s="36">
        <v>7.9</v>
      </c>
      <c r="I21" s="36">
        <v>12.9</v>
      </c>
    </row>
    <row r="22" spans="1:9">
      <c r="A22" s="40">
        <v>18</v>
      </c>
      <c r="B22" s="36">
        <v>0</v>
      </c>
      <c r="C22" s="36">
        <v>7.8</v>
      </c>
      <c r="D22" s="36">
        <v>8.8000000000000007</v>
      </c>
      <c r="E22" s="36">
        <v>13.7</v>
      </c>
      <c r="F22" s="36">
        <v>0</v>
      </c>
      <c r="G22" s="36">
        <v>7.2</v>
      </c>
      <c r="H22" s="36">
        <v>8.1</v>
      </c>
      <c r="I22" s="36">
        <v>13.2</v>
      </c>
    </row>
    <row r="23" spans="1:9">
      <c r="A23" s="40">
        <v>19</v>
      </c>
      <c r="B23" s="36">
        <v>0</v>
      </c>
      <c r="C23" s="36">
        <v>8</v>
      </c>
      <c r="D23" s="36">
        <v>8.9</v>
      </c>
      <c r="E23" s="36">
        <v>13.9</v>
      </c>
      <c r="F23" s="36">
        <v>0</v>
      </c>
      <c r="G23" s="36">
        <v>7.3</v>
      </c>
      <c r="H23" s="36">
        <v>8.1999999999999993</v>
      </c>
      <c r="I23" s="36">
        <v>13.5</v>
      </c>
    </row>
    <row r="24" spans="1:9">
      <c r="A24" s="40">
        <v>20</v>
      </c>
      <c r="B24" s="36">
        <v>0</v>
      </c>
      <c r="C24" s="36">
        <v>8.1</v>
      </c>
      <c r="D24" s="36">
        <v>9.1</v>
      </c>
      <c r="E24" s="36">
        <v>14.2</v>
      </c>
      <c r="F24" s="36">
        <v>0</v>
      </c>
      <c r="G24" s="36">
        <v>7.5</v>
      </c>
      <c r="H24" s="36">
        <v>8.4</v>
      </c>
      <c r="I24" s="36">
        <v>13.7</v>
      </c>
    </row>
    <row r="25" spans="1:9">
      <c r="A25" s="40">
        <v>21</v>
      </c>
      <c r="B25" s="36">
        <v>0</v>
      </c>
      <c r="C25" s="36">
        <v>8.1999999999999993</v>
      </c>
      <c r="D25" s="36">
        <v>9.1999999999999993</v>
      </c>
      <c r="E25" s="36">
        <v>14.5</v>
      </c>
      <c r="F25" s="36">
        <v>0</v>
      </c>
      <c r="G25" s="36">
        <v>7.6</v>
      </c>
      <c r="H25" s="36">
        <v>8.6</v>
      </c>
      <c r="I25" s="36">
        <v>14</v>
      </c>
    </row>
    <row r="26" spans="1:9">
      <c r="A26" s="40">
        <v>22</v>
      </c>
      <c r="B26" s="36">
        <v>0</v>
      </c>
      <c r="C26" s="36">
        <v>8.4</v>
      </c>
      <c r="D26" s="36">
        <v>9.4</v>
      </c>
      <c r="E26" s="36">
        <v>14.7</v>
      </c>
      <c r="F26" s="36">
        <v>0</v>
      </c>
      <c r="G26" s="36">
        <v>7.8</v>
      </c>
      <c r="H26" s="36">
        <v>8.6999999999999993</v>
      </c>
      <c r="I26" s="36">
        <v>14.3</v>
      </c>
    </row>
    <row r="27" spans="1:9">
      <c r="A27" s="40">
        <v>23</v>
      </c>
      <c r="B27" s="36">
        <v>0</v>
      </c>
      <c r="C27" s="36">
        <v>8.5</v>
      </c>
      <c r="D27" s="36">
        <v>9.5</v>
      </c>
      <c r="E27" s="36">
        <v>15</v>
      </c>
      <c r="F27" s="36">
        <v>0</v>
      </c>
      <c r="G27" s="36">
        <v>7.9</v>
      </c>
      <c r="H27" s="36">
        <v>8.9</v>
      </c>
      <c r="I27" s="36">
        <v>14.6</v>
      </c>
    </row>
    <row r="28" spans="1:9">
      <c r="A28" s="40">
        <v>24</v>
      </c>
      <c r="B28" s="36">
        <v>0</v>
      </c>
      <c r="C28" s="36">
        <v>8.6</v>
      </c>
      <c r="D28" s="36">
        <v>9.6999999999999993</v>
      </c>
      <c r="E28" s="36">
        <v>15.3</v>
      </c>
      <c r="F28" s="36">
        <v>0</v>
      </c>
      <c r="G28" s="36">
        <v>8.1</v>
      </c>
      <c r="H28" s="36">
        <v>9</v>
      </c>
      <c r="I28" s="36">
        <v>14.8</v>
      </c>
    </row>
    <row r="29" spans="1:9">
      <c r="A29" s="40">
        <v>25</v>
      </c>
      <c r="B29" s="36">
        <v>0</v>
      </c>
      <c r="C29" s="36">
        <v>8.8000000000000007</v>
      </c>
      <c r="D29" s="36">
        <v>9.8000000000000007</v>
      </c>
      <c r="E29" s="36">
        <v>15.5</v>
      </c>
      <c r="F29" s="36">
        <v>0</v>
      </c>
      <c r="G29" s="36">
        <v>8.1999999999999993</v>
      </c>
      <c r="H29" s="36">
        <v>9.1999999999999993</v>
      </c>
      <c r="I29" s="36">
        <v>15.1</v>
      </c>
    </row>
    <row r="30" spans="1:9">
      <c r="A30" s="40">
        <v>26</v>
      </c>
      <c r="B30" s="36">
        <v>0</v>
      </c>
      <c r="C30" s="36">
        <v>8.9</v>
      </c>
      <c r="D30" s="36">
        <v>10</v>
      </c>
      <c r="E30" s="36">
        <v>15.8</v>
      </c>
      <c r="F30" s="36">
        <v>0</v>
      </c>
      <c r="G30" s="36">
        <v>8.4</v>
      </c>
      <c r="H30" s="36">
        <v>9.4</v>
      </c>
      <c r="I30" s="36">
        <v>15.4</v>
      </c>
    </row>
    <row r="31" spans="1:9">
      <c r="A31" s="40">
        <v>27</v>
      </c>
      <c r="B31" s="36">
        <v>0</v>
      </c>
      <c r="C31" s="36">
        <v>9</v>
      </c>
      <c r="D31" s="36">
        <v>10.1</v>
      </c>
      <c r="E31" s="36">
        <v>16.100000000000001</v>
      </c>
      <c r="F31" s="36">
        <v>0</v>
      </c>
      <c r="G31" s="36">
        <v>8.5</v>
      </c>
      <c r="H31" s="36">
        <v>9.5</v>
      </c>
      <c r="I31" s="36">
        <v>15.7</v>
      </c>
    </row>
    <row r="32" spans="1:9">
      <c r="A32" s="40">
        <v>28</v>
      </c>
      <c r="B32" s="36">
        <v>0</v>
      </c>
      <c r="C32" s="36">
        <v>9.1</v>
      </c>
      <c r="D32" s="36">
        <v>10.199999999999999</v>
      </c>
      <c r="E32" s="36">
        <v>16.3</v>
      </c>
      <c r="F32" s="36">
        <v>0</v>
      </c>
      <c r="G32" s="36">
        <v>8.6</v>
      </c>
      <c r="H32" s="36">
        <v>9.6999999999999993</v>
      </c>
      <c r="I32" s="36">
        <v>16</v>
      </c>
    </row>
    <row r="33" spans="1:9">
      <c r="A33" s="40">
        <v>29</v>
      </c>
      <c r="B33" s="36">
        <v>0</v>
      </c>
      <c r="C33" s="36">
        <v>9.1999999999999993</v>
      </c>
      <c r="D33" s="36">
        <v>10.4</v>
      </c>
      <c r="E33" s="36">
        <v>16.600000000000001</v>
      </c>
      <c r="F33" s="36">
        <v>0</v>
      </c>
      <c r="G33" s="36">
        <v>8.8000000000000007</v>
      </c>
      <c r="H33" s="36">
        <v>9.8000000000000007</v>
      </c>
      <c r="I33" s="36">
        <v>16.2</v>
      </c>
    </row>
    <row r="34" spans="1:9">
      <c r="A34" s="40">
        <v>30</v>
      </c>
      <c r="B34" s="36">
        <v>0</v>
      </c>
      <c r="C34" s="36">
        <v>9.4</v>
      </c>
      <c r="D34" s="36">
        <v>10.5</v>
      </c>
      <c r="E34" s="36">
        <v>16.899999999999999</v>
      </c>
      <c r="F34" s="36">
        <v>0</v>
      </c>
      <c r="G34" s="36">
        <v>8.9</v>
      </c>
      <c r="H34" s="36">
        <v>10</v>
      </c>
      <c r="I34" s="36">
        <v>16.5</v>
      </c>
    </row>
    <row r="35" spans="1:9">
      <c r="A35" s="40">
        <v>31</v>
      </c>
      <c r="B35" s="36">
        <v>0</v>
      </c>
      <c r="C35" s="36">
        <v>9.5</v>
      </c>
      <c r="D35" s="36">
        <v>10.7</v>
      </c>
      <c r="E35" s="36">
        <v>17.100000000000001</v>
      </c>
      <c r="F35" s="36">
        <v>0</v>
      </c>
      <c r="G35" s="36">
        <v>9</v>
      </c>
      <c r="H35" s="36">
        <v>10.1</v>
      </c>
      <c r="I35" s="36">
        <v>16.8</v>
      </c>
    </row>
    <row r="36" spans="1:9">
      <c r="A36" s="40">
        <v>32</v>
      </c>
      <c r="B36" s="36">
        <v>0</v>
      </c>
      <c r="C36" s="36">
        <v>9.6</v>
      </c>
      <c r="D36" s="36">
        <v>10.8</v>
      </c>
      <c r="E36" s="36">
        <v>17.399999999999999</v>
      </c>
      <c r="F36" s="36">
        <v>0</v>
      </c>
      <c r="G36" s="36">
        <v>9.1</v>
      </c>
      <c r="H36" s="36">
        <v>10.3</v>
      </c>
      <c r="I36" s="36">
        <v>17.100000000000001</v>
      </c>
    </row>
    <row r="37" spans="1:9">
      <c r="A37" s="40">
        <v>33</v>
      </c>
      <c r="B37" s="36">
        <v>0</v>
      </c>
      <c r="C37" s="36">
        <v>9.6999999999999993</v>
      </c>
      <c r="D37" s="36">
        <v>10.9</v>
      </c>
      <c r="E37" s="36">
        <v>17.600000000000001</v>
      </c>
      <c r="F37" s="36">
        <v>0</v>
      </c>
      <c r="G37" s="36">
        <v>9.3000000000000007</v>
      </c>
      <c r="H37" s="36">
        <v>10.4</v>
      </c>
      <c r="I37" s="36">
        <v>17.3</v>
      </c>
    </row>
    <row r="38" spans="1:9">
      <c r="A38" s="40">
        <v>34</v>
      </c>
      <c r="B38" s="36">
        <v>0</v>
      </c>
      <c r="C38" s="36">
        <v>9.8000000000000007</v>
      </c>
      <c r="D38" s="36">
        <v>11</v>
      </c>
      <c r="E38" s="36">
        <v>17.8</v>
      </c>
      <c r="F38" s="36">
        <v>0</v>
      </c>
      <c r="G38" s="36">
        <v>9.4</v>
      </c>
      <c r="H38" s="36">
        <v>10.5</v>
      </c>
      <c r="I38" s="36">
        <v>17.600000000000001</v>
      </c>
    </row>
    <row r="39" spans="1:9">
      <c r="A39" s="40">
        <v>35</v>
      </c>
      <c r="B39" s="36">
        <v>0</v>
      </c>
      <c r="C39" s="36">
        <v>9.9</v>
      </c>
      <c r="D39" s="36">
        <v>11.2</v>
      </c>
      <c r="E39" s="36">
        <v>18.100000000000001</v>
      </c>
      <c r="F39" s="36">
        <v>0</v>
      </c>
      <c r="G39" s="36">
        <v>9.5</v>
      </c>
      <c r="H39" s="36">
        <v>10.7</v>
      </c>
      <c r="I39" s="36">
        <v>17.899999999999999</v>
      </c>
    </row>
    <row r="40" spans="1:9">
      <c r="A40" s="40">
        <v>36</v>
      </c>
      <c r="B40" s="36">
        <v>0</v>
      </c>
      <c r="C40" s="36">
        <v>10</v>
      </c>
      <c r="D40" s="36">
        <v>11.3</v>
      </c>
      <c r="E40" s="36">
        <v>18.3</v>
      </c>
      <c r="F40" s="36">
        <v>0</v>
      </c>
      <c r="G40" s="36">
        <v>9.6</v>
      </c>
      <c r="H40" s="36">
        <v>10.8</v>
      </c>
      <c r="I40" s="36">
        <v>18.100000000000001</v>
      </c>
    </row>
    <row r="41" spans="1:9">
      <c r="A41" s="40">
        <v>37</v>
      </c>
      <c r="B41" s="36">
        <v>0</v>
      </c>
      <c r="C41" s="36">
        <v>10.1</v>
      </c>
      <c r="D41" s="36">
        <v>11.4</v>
      </c>
      <c r="E41" s="36">
        <v>18.600000000000001</v>
      </c>
      <c r="F41" s="36">
        <v>0</v>
      </c>
      <c r="G41" s="36">
        <v>9.6999999999999993</v>
      </c>
      <c r="H41" s="36">
        <v>10.9</v>
      </c>
      <c r="I41" s="36">
        <v>18.399999999999999</v>
      </c>
    </row>
    <row r="42" spans="1:9">
      <c r="A42" s="40">
        <v>38</v>
      </c>
      <c r="B42" s="36">
        <v>0</v>
      </c>
      <c r="C42" s="36">
        <v>10.199999999999999</v>
      </c>
      <c r="D42" s="36">
        <v>11.5</v>
      </c>
      <c r="E42" s="36">
        <v>18.8</v>
      </c>
      <c r="F42" s="36">
        <v>0</v>
      </c>
      <c r="G42" s="36">
        <v>9.8000000000000007</v>
      </c>
      <c r="H42" s="36">
        <v>11.1</v>
      </c>
      <c r="I42" s="36">
        <v>18.7</v>
      </c>
    </row>
    <row r="43" spans="1:9">
      <c r="A43" s="40">
        <v>39</v>
      </c>
      <c r="B43" s="36">
        <v>0</v>
      </c>
      <c r="C43" s="36">
        <v>10.3</v>
      </c>
      <c r="D43" s="36">
        <v>11.6</v>
      </c>
      <c r="E43" s="36">
        <v>19</v>
      </c>
      <c r="F43" s="36">
        <v>0</v>
      </c>
      <c r="G43" s="36">
        <v>9.9</v>
      </c>
      <c r="H43" s="36">
        <v>11.2</v>
      </c>
      <c r="I43" s="36">
        <v>19</v>
      </c>
    </row>
    <row r="44" spans="1:9">
      <c r="A44" s="40">
        <v>40</v>
      </c>
      <c r="B44" s="36">
        <v>0</v>
      </c>
      <c r="C44" s="36">
        <v>10.4</v>
      </c>
      <c r="D44" s="36">
        <v>11.8</v>
      </c>
      <c r="E44" s="36">
        <v>19.3</v>
      </c>
      <c r="F44" s="36">
        <v>0</v>
      </c>
      <c r="G44" s="36">
        <v>10.1</v>
      </c>
      <c r="H44" s="36">
        <v>11.3</v>
      </c>
      <c r="I44" s="36">
        <v>19.2</v>
      </c>
    </row>
    <row r="45" spans="1:9">
      <c r="A45" s="40">
        <v>41</v>
      </c>
      <c r="B45" s="36">
        <v>0</v>
      </c>
      <c r="C45" s="36">
        <v>10.5</v>
      </c>
      <c r="D45" s="36">
        <v>11.9</v>
      </c>
      <c r="E45" s="36">
        <v>19.5</v>
      </c>
      <c r="F45" s="36">
        <v>0</v>
      </c>
      <c r="G45" s="36">
        <v>10.199999999999999</v>
      </c>
      <c r="H45" s="36">
        <v>11.5</v>
      </c>
      <c r="I45" s="36">
        <v>19.5</v>
      </c>
    </row>
    <row r="46" spans="1:9">
      <c r="A46" s="40">
        <v>42</v>
      </c>
      <c r="B46" s="36">
        <v>0</v>
      </c>
      <c r="C46" s="36">
        <v>10.6</v>
      </c>
      <c r="D46" s="36">
        <v>12</v>
      </c>
      <c r="E46" s="36">
        <v>19.7</v>
      </c>
      <c r="F46" s="36">
        <v>0</v>
      </c>
      <c r="G46" s="36">
        <v>10.3</v>
      </c>
      <c r="H46" s="36">
        <v>11.6</v>
      </c>
      <c r="I46" s="36">
        <v>19.8</v>
      </c>
    </row>
    <row r="47" spans="1:9">
      <c r="A47" s="40">
        <v>43</v>
      </c>
      <c r="B47" s="36">
        <v>0</v>
      </c>
      <c r="C47" s="36">
        <v>10.7</v>
      </c>
      <c r="D47" s="36">
        <v>12.1</v>
      </c>
      <c r="E47" s="36">
        <v>20</v>
      </c>
      <c r="F47" s="36">
        <v>0</v>
      </c>
      <c r="G47" s="36">
        <v>10.4</v>
      </c>
      <c r="H47" s="36">
        <v>11.7</v>
      </c>
      <c r="I47" s="36">
        <v>20.100000000000001</v>
      </c>
    </row>
    <row r="48" spans="1:9">
      <c r="A48" s="40">
        <v>44</v>
      </c>
      <c r="B48" s="36">
        <v>0</v>
      </c>
      <c r="C48" s="36">
        <v>10.8</v>
      </c>
      <c r="D48" s="36">
        <v>12.2</v>
      </c>
      <c r="E48" s="36">
        <v>20.2</v>
      </c>
      <c r="F48" s="36">
        <v>0</v>
      </c>
      <c r="G48" s="36">
        <v>10.5</v>
      </c>
      <c r="H48" s="36">
        <v>11.8</v>
      </c>
      <c r="I48" s="36">
        <v>20.399999999999999</v>
      </c>
    </row>
    <row r="49" spans="1:9">
      <c r="A49" s="40">
        <v>45</v>
      </c>
      <c r="B49" s="36">
        <v>0</v>
      </c>
      <c r="C49" s="36">
        <v>10.9</v>
      </c>
      <c r="D49" s="36">
        <v>12.4</v>
      </c>
      <c r="E49" s="36">
        <v>20.5</v>
      </c>
      <c r="F49" s="36">
        <v>0</v>
      </c>
      <c r="G49" s="36">
        <v>10.6</v>
      </c>
      <c r="H49" s="36">
        <v>12</v>
      </c>
      <c r="I49" s="36">
        <v>20.7</v>
      </c>
    </row>
    <row r="50" spans="1:9">
      <c r="A50" s="40">
        <v>46</v>
      </c>
      <c r="B50" s="36">
        <v>0</v>
      </c>
      <c r="C50" s="36">
        <v>11</v>
      </c>
      <c r="D50" s="36">
        <v>12.5</v>
      </c>
      <c r="E50" s="36">
        <v>20.7</v>
      </c>
      <c r="F50" s="36">
        <v>0</v>
      </c>
      <c r="G50" s="36">
        <v>10.7</v>
      </c>
      <c r="H50" s="36">
        <v>12.1</v>
      </c>
      <c r="I50" s="36">
        <v>20.9</v>
      </c>
    </row>
    <row r="51" spans="1:9">
      <c r="A51" s="40">
        <v>47</v>
      </c>
      <c r="B51" s="36">
        <v>0</v>
      </c>
      <c r="C51" s="36">
        <v>11.1</v>
      </c>
      <c r="D51" s="36">
        <v>12.6</v>
      </c>
      <c r="E51" s="36">
        <v>20.9</v>
      </c>
      <c r="F51" s="36">
        <v>0</v>
      </c>
      <c r="G51" s="36">
        <v>10.8</v>
      </c>
      <c r="H51" s="36">
        <v>12.2</v>
      </c>
      <c r="I51" s="36">
        <v>21.2</v>
      </c>
    </row>
    <row r="52" spans="1:9">
      <c r="A52" s="40">
        <v>48</v>
      </c>
      <c r="B52" s="36">
        <v>0</v>
      </c>
      <c r="C52" s="36">
        <v>11.2</v>
      </c>
      <c r="D52" s="36">
        <v>12.7</v>
      </c>
      <c r="E52" s="36">
        <v>21.2</v>
      </c>
      <c r="F52" s="36">
        <v>0</v>
      </c>
      <c r="G52" s="36">
        <v>10.9</v>
      </c>
      <c r="H52" s="36">
        <v>12.3</v>
      </c>
      <c r="I52" s="36">
        <v>21.5</v>
      </c>
    </row>
    <row r="53" spans="1:9">
      <c r="A53" s="40">
        <v>49</v>
      </c>
      <c r="B53" s="36">
        <v>0</v>
      </c>
      <c r="C53" s="36">
        <v>11.3</v>
      </c>
      <c r="D53" s="36">
        <v>12.8</v>
      </c>
      <c r="E53" s="36">
        <v>21.4</v>
      </c>
      <c r="F53" s="36">
        <v>0</v>
      </c>
      <c r="G53" s="36">
        <v>11</v>
      </c>
      <c r="H53" s="36">
        <v>12.4</v>
      </c>
      <c r="I53" s="36">
        <v>21.8</v>
      </c>
    </row>
    <row r="54" spans="1:9">
      <c r="A54" s="40">
        <v>50</v>
      </c>
      <c r="B54" s="36">
        <v>0</v>
      </c>
      <c r="C54" s="36">
        <v>11.4</v>
      </c>
      <c r="D54" s="36">
        <v>12.9</v>
      </c>
      <c r="E54" s="36">
        <v>21.7</v>
      </c>
      <c r="F54" s="36">
        <v>0</v>
      </c>
      <c r="G54" s="36">
        <v>11.1</v>
      </c>
      <c r="H54" s="36">
        <v>12.6</v>
      </c>
      <c r="I54" s="36">
        <v>22.1</v>
      </c>
    </row>
    <row r="55" spans="1:9">
      <c r="A55" s="40">
        <v>51</v>
      </c>
      <c r="B55" s="36">
        <v>0</v>
      </c>
      <c r="C55" s="36">
        <v>11.5</v>
      </c>
      <c r="D55" s="36">
        <v>13.1</v>
      </c>
      <c r="E55" s="36">
        <v>21.9</v>
      </c>
      <c r="F55" s="36">
        <v>0</v>
      </c>
      <c r="G55" s="36">
        <v>11.2</v>
      </c>
      <c r="H55" s="36">
        <v>12.7</v>
      </c>
      <c r="I55" s="36">
        <v>22.4</v>
      </c>
    </row>
    <row r="56" spans="1:9">
      <c r="A56" s="40">
        <v>52</v>
      </c>
      <c r="B56" s="36">
        <v>0</v>
      </c>
      <c r="C56" s="36">
        <v>11.6</v>
      </c>
      <c r="D56" s="36">
        <v>13.2</v>
      </c>
      <c r="E56" s="36">
        <v>22.2</v>
      </c>
      <c r="F56" s="36">
        <v>0</v>
      </c>
      <c r="G56" s="36">
        <v>11.3</v>
      </c>
      <c r="H56" s="36">
        <v>12.8</v>
      </c>
      <c r="I56" s="36">
        <v>22.6</v>
      </c>
    </row>
    <row r="57" spans="1:9">
      <c r="A57" s="40">
        <v>53</v>
      </c>
      <c r="B57" s="36">
        <v>0</v>
      </c>
      <c r="C57" s="36">
        <v>11.7</v>
      </c>
      <c r="D57" s="36">
        <v>13.3</v>
      </c>
      <c r="E57" s="36">
        <v>22.4</v>
      </c>
      <c r="F57" s="36">
        <v>0</v>
      </c>
      <c r="G57" s="36">
        <v>11.4</v>
      </c>
      <c r="H57" s="36">
        <v>12.9</v>
      </c>
      <c r="I57" s="36">
        <v>22.9</v>
      </c>
    </row>
    <row r="58" spans="1:9">
      <c r="A58" s="40">
        <v>54</v>
      </c>
      <c r="B58" s="36">
        <v>0</v>
      </c>
      <c r="C58" s="36">
        <v>11.8</v>
      </c>
      <c r="D58" s="36">
        <v>13.4</v>
      </c>
      <c r="E58" s="36">
        <v>22.7</v>
      </c>
      <c r="F58" s="36">
        <v>0</v>
      </c>
      <c r="G58" s="36">
        <v>11.5</v>
      </c>
      <c r="H58" s="36">
        <v>13</v>
      </c>
      <c r="I58" s="36">
        <v>23.2</v>
      </c>
    </row>
    <row r="59" spans="1:9">
      <c r="A59" s="40">
        <v>55</v>
      </c>
      <c r="B59" s="36">
        <v>0</v>
      </c>
      <c r="C59" s="36">
        <v>11.9</v>
      </c>
      <c r="D59" s="36">
        <v>13.5</v>
      </c>
      <c r="E59" s="36">
        <v>22.9</v>
      </c>
      <c r="F59" s="36">
        <v>0</v>
      </c>
      <c r="G59" s="36">
        <v>11.6</v>
      </c>
      <c r="H59" s="36">
        <v>13.2</v>
      </c>
      <c r="I59" s="36">
        <v>23.5</v>
      </c>
    </row>
    <row r="60" spans="1:9">
      <c r="A60" s="40">
        <v>56</v>
      </c>
      <c r="B60" s="36">
        <v>0</v>
      </c>
      <c r="C60" s="36">
        <v>12</v>
      </c>
      <c r="D60" s="36">
        <v>13.6</v>
      </c>
      <c r="E60" s="36">
        <v>23.2</v>
      </c>
      <c r="F60" s="36">
        <v>0</v>
      </c>
      <c r="G60" s="36">
        <v>11.7</v>
      </c>
      <c r="H60" s="36">
        <v>13.3</v>
      </c>
      <c r="I60" s="36">
        <v>23.8</v>
      </c>
    </row>
    <row r="61" spans="1:9">
      <c r="A61" s="40">
        <v>57</v>
      </c>
      <c r="B61" s="36">
        <v>0</v>
      </c>
      <c r="C61" s="36">
        <v>12.1</v>
      </c>
      <c r="D61" s="36">
        <v>13.7</v>
      </c>
      <c r="E61" s="36">
        <v>23.4</v>
      </c>
      <c r="F61" s="36">
        <v>0</v>
      </c>
      <c r="G61" s="36">
        <v>11.8</v>
      </c>
      <c r="H61" s="36">
        <v>13.4</v>
      </c>
      <c r="I61" s="36">
        <v>24.1</v>
      </c>
    </row>
    <row r="62" spans="1:9">
      <c r="A62" s="40">
        <v>58</v>
      </c>
      <c r="B62" s="36">
        <v>0</v>
      </c>
      <c r="C62" s="36">
        <v>12.2</v>
      </c>
      <c r="D62" s="36">
        <v>13.8</v>
      </c>
      <c r="E62" s="36">
        <v>23.7</v>
      </c>
      <c r="F62" s="36">
        <v>0</v>
      </c>
      <c r="G62" s="36">
        <v>11.9</v>
      </c>
      <c r="H62" s="36">
        <v>13.5</v>
      </c>
      <c r="I62" s="36">
        <v>24.4</v>
      </c>
    </row>
    <row r="63" spans="1:9">
      <c r="A63" s="40">
        <v>59</v>
      </c>
      <c r="B63" s="36">
        <v>0</v>
      </c>
      <c r="C63" s="36">
        <v>12.3</v>
      </c>
      <c r="D63" s="36">
        <v>14</v>
      </c>
      <c r="E63" s="36">
        <v>23.9</v>
      </c>
      <c r="F63" s="36">
        <v>0</v>
      </c>
      <c r="G63" s="36">
        <v>12</v>
      </c>
      <c r="H63" s="36">
        <v>13.6</v>
      </c>
      <c r="I63" s="36">
        <v>24.6</v>
      </c>
    </row>
    <row r="64" spans="1:9">
      <c r="A64" s="40">
        <v>60</v>
      </c>
      <c r="B64" s="36">
        <v>0</v>
      </c>
      <c r="C64" s="36">
        <v>12.4</v>
      </c>
      <c r="D64" s="36">
        <v>14.1</v>
      </c>
      <c r="E64" s="36">
        <v>24.2</v>
      </c>
      <c r="F64" s="36">
        <v>0</v>
      </c>
      <c r="G64" s="36">
        <v>12.1</v>
      </c>
      <c r="H64" s="36">
        <v>13.7</v>
      </c>
      <c r="I64" s="36">
        <v>24.9</v>
      </c>
    </row>
    <row r="67" spans="1:9" ht="20.399999999999999">
      <c r="A67" s="133" t="s">
        <v>90</v>
      </c>
      <c r="B67" s="133"/>
      <c r="C67" s="133"/>
      <c r="D67" s="133"/>
      <c r="E67" s="133"/>
      <c r="F67" s="133"/>
      <c r="G67" s="133"/>
      <c r="H67" s="133"/>
      <c r="I67" s="133"/>
    </row>
    <row r="68" spans="1:9">
      <c r="A68" s="43"/>
      <c r="B68" s="134" t="s">
        <v>10</v>
      </c>
      <c r="C68" s="134"/>
      <c r="D68" s="134"/>
      <c r="E68" s="134"/>
      <c r="F68" s="134" t="s">
        <v>11</v>
      </c>
      <c r="G68" s="134"/>
      <c r="H68" s="134"/>
      <c r="I68" s="134"/>
    </row>
    <row r="69" spans="1:9" ht="31.2">
      <c r="A69" s="40"/>
      <c r="B69" s="39" t="s">
        <v>89</v>
      </c>
      <c r="C69" s="40" t="s">
        <v>29</v>
      </c>
      <c r="D69" s="40" t="s">
        <v>25</v>
      </c>
      <c r="E69" s="40" t="s">
        <v>41</v>
      </c>
      <c r="F69" s="39" t="s">
        <v>89</v>
      </c>
      <c r="G69" s="40" t="s">
        <v>29</v>
      </c>
      <c r="H69" s="40" t="s">
        <v>25</v>
      </c>
      <c r="I69" s="40" t="s">
        <v>41</v>
      </c>
    </row>
    <row r="70" spans="1:9">
      <c r="A70" s="40">
        <v>61</v>
      </c>
      <c r="B70" s="36">
        <v>0</v>
      </c>
      <c r="C70" s="36">
        <v>12.7</v>
      </c>
      <c r="D70" s="36">
        <v>14.4</v>
      </c>
      <c r="E70" s="36">
        <v>24.2</v>
      </c>
      <c r="F70" s="36">
        <v>0</v>
      </c>
      <c r="G70" s="36">
        <v>12.4</v>
      </c>
      <c r="H70" s="36">
        <v>14</v>
      </c>
      <c r="I70" s="36">
        <v>24.8</v>
      </c>
    </row>
    <row r="71" spans="1:9">
      <c r="A71" s="40">
        <v>62</v>
      </c>
      <c r="B71" s="36">
        <v>0</v>
      </c>
      <c r="C71" s="36">
        <v>12.8</v>
      </c>
      <c r="D71" s="36">
        <v>14.5</v>
      </c>
      <c r="E71" s="36">
        <v>24.4</v>
      </c>
      <c r="F71" s="36">
        <v>0</v>
      </c>
      <c r="G71" s="36">
        <v>12.5</v>
      </c>
      <c r="H71" s="36">
        <v>14.1</v>
      </c>
      <c r="I71" s="36">
        <v>25.1</v>
      </c>
    </row>
    <row r="72" spans="1:9">
      <c r="A72" s="40">
        <v>63</v>
      </c>
      <c r="B72" s="36">
        <v>0</v>
      </c>
      <c r="C72" s="36">
        <v>13</v>
      </c>
      <c r="D72" s="36">
        <v>14.6</v>
      </c>
      <c r="E72" s="36">
        <v>24.7</v>
      </c>
      <c r="F72" s="36">
        <v>0</v>
      </c>
      <c r="G72" s="36">
        <v>12.6</v>
      </c>
      <c r="H72" s="36">
        <v>14.2</v>
      </c>
      <c r="I72" s="36">
        <v>25.4</v>
      </c>
    </row>
    <row r="73" spans="1:9">
      <c r="A73" s="40">
        <v>64</v>
      </c>
      <c r="B73" s="36">
        <v>0</v>
      </c>
      <c r="C73" s="36">
        <v>13.1</v>
      </c>
      <c r="D73" s="36">
        <v>14.8</v>
      </c>
      <c r="E73" s="36">
        <v>24.9</v>
      </c>
      <c r="F73" s="36">
        <v>0</v>
      </c>
      <c r="G73" s="36">
        <v>12.7</v>
      </c>
      <c r="H73" s="36">
        <v>14.3</v>
      </c>
      <c r="I73" s="36">
        <v>25.6</v>
      </c>
    </row>
    <row r="74" spans="1:9">
      <c r="A74" s="40">
        <v>65</v>
      </c>
      <c r="B74" s="36">
        <v>0</v>
      </c>
      <c r="C74" s="36">
        <v>13.2</v>
      </c>
      <c r="D74" s="36">
        <v>14.9</v>
      </c>
      <c r="E74" s="36">
        <v>25.2</v>
      </c>
      <c r="F74" s="36">
        <v>0</v>
      </c>
      <c r="G74" s="36">
        <v>12.8</v>
      </c>
      <c r="H74" s="36">
        <v>14.4</v>
      </c>
      <c r="I74" s="36">
        <v>25.9</v>
      </c>
    </row>
    <row r="75" spans="1:9">
      <c r="A75" s="40">
        <v>66</v>
      </c>
      <c r="B75" s="36">
        <v>0</v>
      </c>
      <c r="C75" s="36">
        <v>13.3</v>
      </c>
      <c r="D75" s="36">
        <v>15</v>
      </c>
      <c r="E75" s="36">
        <v>25.5</v>
      </c>
      <c r="F75" s="36">
        <v>0</v>
      </c>
      <c r="G75" s="36">
        <v>12.9</v>
      </c>
      <c r="H75" s="36">
        <v>14.6</v>
      </c>
      <c r="I75" s="36">
        <v>26.2</v>
      </c>
    </row>
    <row r="76" spans="1:9">
      <c r="A76" s="40">
        <v>67</v>
      </c>
      <c r="B76" s="36">
        <v>0</v>
      </c>
      <c r="C76" s="36">
        <v>13.4</v>
      </c>
      <c r="D76" s="36">
        <v>15.2</v>
      </c>
      <c r="E76" s="36">
        <v>25.7</v>
      </c>
      <c r="F76" s="36">
        <v>0</v>
      </c>
      <c r="G76" s="36">
        <v>13</v>
      </c>
      <c r="H76" s="36">
        <v>14.7</v>
      </c>
      <c r="I76" s="36">
        <v>26.5</v>
      </c>
    </row>
    <row r="77" spans="1:9">
      <c r="A77" s="40">
        <v>68</v>
      </c>
      <c r="B77" s="36">
        <v>0</v>
      </c>
      <c r="C77" s="36">
        <v>13.6</v>
      </c>
      <c r="D77" s="36">
        <v>15.3</v>
      </c>
      <c r="E77" s="36">
        <v>26</v>
      </c>
      <c r="F77" s="36">
        <v>0</v>
      </c>
      <c r="G77" s="36">
        <v>13.1</v>
      </c>
      <c r="H77" s="36">
        <v>14.8</v>
      </c>
      <c r="I77" s="36">
        <v>26.7</v>
      </c>
    </row>
    <row r="78" spans="1:9">
      <c r="A78" s="40">
        <v>69</v>
      </c>
      <c r="B78" s="36">
        <v>0</v>
      </c>
      <c r="C78" s="36">
        <v>13.7</v>
      </c>
      <c r="D78" s="36">
        <v>15.4</v>
      </c>
      <c r="E78" s="36">
        <v>26.3</v>
      </c>
      <c r="F78" s="36">
        <v>0</v>
      </c>
      <c r="G78" s="36">
        <v>13.2</v>
      </c>
      <c r="H78" s="36">
        <v>14.9</v>
      </c>
      <c r="I78" s="36">
        <v>27</v>
      </c>
    </row>
    <row r="79" spans="1:9">
      <c r="A79" s="40">
        <v>70</v>
      </c>
      <c r="B79" s="36">
        <v>0</v>
      </c>
      <c r="C79" s="36">
        <v>13.8</v>
      </c>
      <c r="D79" s="36">
        <v>15.6</v>
      </c>
      <c r="E79" s="36">
        <v>26.6</v>
      </c>
      <c r="F79" s="36">
        <v>0</v>
      </c>
      <c r="G79" s="36">
        <v>13.3</v>
      </c>
      <c r="H79" s="36">
        <v>15</v>
      </c>
      <c r="I79" s="36">
        <v>27.3</v>
      </c>
    </row>
    <row r="80" spans="1:9">
      <c r="A80" s="40">
        <v>71</v>
      </c>
      <c r="B80" s="36">
        <v>0</v>
      </c>
      <c r="C80" s="36">
        <v>13.9</v>
      </c>
      <c r="D80" s="36">
        <v>15.7</v>
      </c>
      <c r="E80" s="36">
        <v>26.8</v>
      </c>
      <c r="F80" s="36">
        <v>0</v>
      </c>
      <c r="G80" s="36">
        <v>13.4</v>
      </c>
      <c r="H80" s="36">
        <v>15.2</v>
      </c>
      <c r="I80" s="36">
        <v>27.6</v>
      </c>
    </row>
    <row r="81" spans="1:9">
      <c r="A81" s="40">
        <v>72</v>
      </c>
      <c r="B81" s="36">
        <v>0</v>
      </c>
      <c r="C81" s="36">
        <v>14.1</v>
      </c>
      <c r="D81" s="36">
        <v>15.9</v>
      </c>
      <c r="E81" s="36">
        <v>27.1</v>
      </c>
      <c r="F81" s="36">
        <v>0</v>
      </c>
      <c r="G81" s="36">
        <v>13.5</v>
      </c>
      <c r="H81" s="36">
        <v>15.3</v>
      </c>
      <c r="I81" s="36">
        <v>27.8</v>
      </c>
    </row>
    <row r="82" spans="1:9">
      <c r="A82" s="40">
        <v>73</v>
      </c>
      <c r="B82" s="36">
        <v>0</v>
      </c>
      <c r="C82" s="36">
        <v>14.2</v>
      </c>
      <c r="D82" s="36">
        <v>16</v>
      </c>
      <c r="E82" s="36">
        <v>27.4</v>
      </c>
      <c r="F82" s="36">
        <v>0</v>
      </c>
      <c r="G82" s="36">
        <v>13.6</v>
      </c>
      <c r="H82" s="36">
        <v>15.4</v>
      </c>
      <c r="I82" s="36">
        <v>28.1</v>
      </c>
    </row>
    <row r="83" spans="1:9">
      <c r="A83" s="40">
        <v>74</v>
      </c>
      <c r="B83" s="36">
        <v>0</v>
      </c>
      <c r="C83" s="36">
        <v>14.3</v>
      </c>
      <c r="D83" s="36">
        <v>16.2</v>
      </c>
      <c r="E83" s="36">
        <v>27.7</v>
      </c>
      <c r="F83" s="36">
        <v>0</v>
      </c>
      <c r="G83" s="36">
        <v>13.7</v>
      </c>
      <c r="H83" s="36">
        <v>15.5</v>
      </c>
      <c r="I83" s="36">
        <v>28.4</v>
      </c>
    </row>
    <row r="84" spans="1:9">
      <c r="A84" s="40">
        <v>75</v>
      </c>
      <c r="B84" s="36">
        <v>0</v>
      </c>
      <c r="C84" s="36">
        <v>14.5</v>
      </c>
      <c r="D84" s="36">
        <v>16.3</v>
      </c>
      <c r="E84" s="36">
        <v>28</v>
      </c>
      <c r="F84" s="36">
        <v>0</v>
      </c>
      <c r="G84" s="36">
        <v>13.8</v>
      </c>
      <c r="H84" s="36">
        <v>15.6</v>
      </c>
      <c r="I84" s="36">
        <v>28.7</v>
      </c>
    </row>
    <row r="85" spans="1:9">
      <c r="A85" s="40">
        <v>76</v>
      </c>
      <c r="B85" s="36">
        <v>0</v>
      </c>
      <c r="C85" s="36">
        <v>14.6</v>
      </c>
      <c r="D85" s="36">
        <v>16.5</v>
      </c>
      <c r="E85" s="36">
        <v>28.3</v>
      </c>
      <c r="F85" s="36">
        <v>0</v>
      </c>
      <c r="G85" s="36">
        <v>13.9</v>
      </c>
      <c r="H85" s="36">
        <v>15.8</v>
      </c>
      <c r="I85" s="36">
        <v>29</v>
      </c>
    </row>
    <row r="86" spans="1:9">
      <c r="A86" s="40">
        <v>77</v>
      </c>
      <c r="B86" s="36">
        <v>0</v>
      </c>
      <c r="C86" s="36">
        <v>14.7</v>
      </c>
      <c r="D86" s="36">
        <v>16.600000000000001</v>
      </c>
      <c r="E86" s="36">
        <v>28.6</v>
      </c>
      <c r="F86" s="36">
        <v>0</v>
      </c>
      <c r="G86" s="36">
        <v>14</v>
      </c>
      <c r="H86" s="36">
        <v>15.9</v>
      </c>
      <c r="I86" s="36">
        <v>29.3</v>
      </c>
    </row>
    <row r="87" spans="1:9">
      <c r="A87" s="40">
        <v>78</v>
      </c>
      <c r="B87" s="36">
        <v>0</v>
      </c>
      <c r="C87" s="36">
        <v>14.9</v>
      </c>
      <c r="D87" s="36">
        <v>16.8</v>
      </c>
      <c r="E87" s="36">
        <v>28.9</v>
      </c>
      <c r="F87" s="36">
        <v>0</v>
      </c>
      <c r="G87" s="36">
        <v>14.1</v>
      </c>
      <c r="H87" s="36">
        <v>16</v>
      </c>
      <c r="I87" s="36">
        <v>29.6</v>
      </c>
    </row>
    <row r="88" spans="1:9">
      <c r="A88" s="40">
        <v>79</v>
      </c>
      <c r="B88" s="36">
        <v>0</v>
      </c>
      <c r="C88" s="36">
        <v>15</v>
      </c>
      <c r="D88" s="36">
        <v>16.899999999999999</v>
      </c>
      <c r="E88" s="36">
        <v>29.2</v>
      </c>
      <c r="F88" s="36">
        <v>0</v>
      </c>
      <c r="G88" s="36">
        <v>14.2</v>
      </c>
      <c r="H88" s="36">
        <v>16.100000000000001</v>
      </c>
      <c r="I88" s="36">
        <v>29.9</v>
      </c>
    </row>
    <row r="89" spans="1:9">
      <c r="A89" s="40">
        <v>80</v>
      </c>
      <c r="B89" s="36">
        <v>0</v>
      </c>
      <c r="C89" s="36">
        <v>15.1</v>
      </c>
      <c r="D89" s="36">
        <v>17.100000000000001</v>
      </c>
      <c r="E89" s="36">
        <v>29.5</v>
      </c>
      <c r="F89" s="36">
        <v>0</v>
      </c>
      <c r="G89" s="36">
        <v>14.3</v>
      </c>
      <c r="H89" s="36">
        <v>16.3</v>
      </c>
      <c r="I89" s="36">
        <v>30.2</v>
      </c>
    </row>
    <row r="90" spans="1:9">
      <c r="A90" s="40">
        <v>81</v>
      </c>
      <c r="B90" s="36">
        <v>0</v>
      </c>
      <c r="C90" s="36">
        <v>15.3</v>
      </c>
      <c r="D90" s="36">
        <v>17.2</v>
      </c>
      <c r="E90" s="36">
        <v>29.8</v>
      </c>
      <c r="F90" s="36">
        <v>0</v>
      </c>
      <c r="G90" s="36">
        <v>14.4</v>
      </c>
      <c r="H90" s="36">
        <v>16.399999999999999</v>
      </c>
      <c r="I90" s="36">
        <v>30.5</v>
      </c>
    </row>
    <row r="91" spans="1:9">
      <c r="A91" s="40">
        <v>82</v>
      </c>
      <c r="B91" s="36">
        <v>0</v>
      </c>
      <c r="C91" s="36">
        <v>15.4</v>
      </c>
      <c r="D91" s="36">
        <v>17.399999999999999</v>
      </c>
      <c r="E91" s="36">
        <v>30.1</v>
      </c>
      <c r="F91" s="36">
        <v>0</v>
      </c>
      <c r="G91" s="36">
        <v>14.5</v>
      </c>
      <c r="H91" s="36">
        <v>16.5</v>
      </c>
      <c r="I91" s="36">
        <v>30.8</v>
      </c>
    </row>
    <row r="92" spans="1:9">
      <c r="A92" s="40">
        <v>83</v>
      </c>
      <c r="B92" s="36">
        <v>0</v>
      </c>
      <c r="C92" s="36">
        <v>15.5</v>
      </c>
      <c r="D92" s="36">
        <v>17.5</v>
      </c>
      <c r="E92" s="36">
        <v>30.4</v>
      </c>
      <c r="F92" s="36">
        <v>0</v>
      </c>
      <c r="G92" s="36">
        <v>14.6</v>
      </c>
      <c r="H92" s="36">
        <v>16.600000000000001</v>
      </c>
      <c r="I92" s="36">
        <v>31.1</v>
      </c>
    </row>
    <row r="93" spans="1:9">
      <c r="A93" s="40">
        <v>84</v>
      </c>
      <c r="B93" s="36">
        <v>0</v>
      </c>
      <c r="C93" s="36">
        <v>15.7</v>
      </c>
      <c r="D93" s="36">
        <v>17.7</v>
      </c>
      <c r="E93" s="36">
        <v>30.7</v>
      </c>
      <c r="F93" s="36">
        <v>0</v>
      </c>
      <c r="G93" s="36">
        <v>14.8</v>
      </c>
      <c r="H93" s="36">
        <v>16.8</v>
      </c>
      <c r="I93" s="36">
        <v>31.4</v>
      </c>
    </row>
  </sheetData>
  <mergeCells count="6">
    <mergeCell ref="A1:I1"/>
    <mergeCell ref="B2:E2"/>
    <mergeCell ref="F2:I2"/>
    <mergeCell ref="A67:I67"/>
    <mergeCell ref="B68:E68"/>
    <mergeCell ref="F68:I68"/>
  </mergeCells>
  <pageMargins left="0.75" right="0.75" top="1" bottom="1" header="0.5" footer="0.5"/>
  <pageSetup paperSize="11" scale="71"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3"/>
  <dimension ref="A1:L93"/>
  <sheetViews>
    <sheetView topLeftCell="A60" workbookViewId="0">
      <selection activeCell="T34" sqref="T34"/>
    </sheetView>
  </sheetViews>
  <sheetFormatPr defaultColWidth="9.109375" defaultRowHeight="18"/>
  <cols>
    <col min="1" max="1" width="9.109375" style="42"/>
    <col min="2" max="2" width="21.5546875" style="42" customWidth="1"/>
    <col min="3" max="3" width="13.6640625" style="42" customWidth="1"/>
    <col min="4" max="4" width="12.109375" style="42" customWidth="1"/>
    <col min="5" max="5" width="10.6640625" style="42" customWidth="1"/>
    <col min="6" max="6" width="21.6640625" style="42" customWidth="1"/>
    <col min="7" max="7" width="15.109375" style="42" customWidth="1"/>
    <col min="8" max="8" width="10.33203125" style="42" customWidth="1"/>
    <col min="9" max="9" width="11.33203125" style="42" customWidth="1"/>
    <col min="10" max="10" width="9.5546875" style="42" customWidth="1"/>
    <col min="11" max="257" width="9.109375" style="42"/>
    <col min="258" max="258" width="21.5546875" style="42" customWidth="1"/>
    <col min="259" max="259" width="13.6640625" style="42" customWidth="1"/>
    <col min="260" max="260" width="12.109375" style="42" customWidth="1"/>
    <col min="261" max="261" width="10.6640625" style="42" customWidth="1"/>
    <col min="262" max="262" width="21.6640625" style="42" customWidth="1"/>
    <col min="263" max="263" width="15.109375" style="42" customWidth="1"/>
    <col min="264" max="264" width="10.33203125" style="42" customWidth="1"/>
    <col min="265" max="265" width="11.33203125" style="42" customWidth="1"/>
    <col min="266" max="266" width="9.5546875" style="42" customWidth="1"/>
    <col min="267" max="513" width="9.109375" style="42"/>
    <col min="514" max="514" width="21.5546875" style="42" customWidth="1"/>
    <col min="515" max="515" width="13.6640625" style="42" customWidth="1"/>
    <col min="516" max="516" width="12.109375" style="42" customWidth="1"/>
    <col min="517" max="517" width="10.6640625" style="42" customWidth="1"/>
    <col min="518" max="518" width="21.6640625" style="42" customWidth="1"/>
    <col min="519" max="519" width="15.109375" style="42" customWidth="1"/>
    <col min="520" max="520" width="10.33203125" style="42" customWidth="1"/>
    <col min="521" max="521" width="11.33203125" style="42" customWidth="1"/>
    <col min="522" max="522" width="9.5546875" style="42" customWidth="1"/>
    <col min="523" max="769" width="9.109375" style="42"/>
    <col min="770" max="770" width="21.5546875" style="42" customWidth="1"/>
    <col min="771" max="771" width="13.6640625" style="42" customWidth="1"/>
    <col min="772" max="772" width="12.109375" style="42" customWidth="1"/>
    <col min="773" max="773" width="10.6640625" style="42" customWidth="1"/>
    <col min="774" max="774" width="21.6640625" style="42" customWidth="1"/>
    <col min="775" max="775" width="15.109375" style="42" customWidth="1"/>
    <col min="776" max="776" width="10.33203125" style="42" customWidth="1"/>
    <col min="777" max="777" width="11.33203125" style="42" customWidth="1"/>
    <col min="778" max="778" width="9.5546875" style="42" customWidth="1"/>
    <col min="779" max="1025" width="9.109375" style="42"/>
    <col min="1026" max="1026" width="21.5546875" style="42" customWidth="1"/>
    <col min="1027" max="1027" width="13.6640625" style="42" customWidth="1"/>
    <col min="1028" max="1028" width="12.109375" style="42" customWidth="1"/>
    <col min="1029" max="1029" width="10.6640625" style="42" customWidth="1"/>
    <col min="1030" max="1030" width="21.6640625" style="42" customWidth="1"/>
    <col min="1031" max="1031" width="15.109375" style="42" customWidth="1"/>
    <col min="1032" max="1032" width="10.33203125" style="42" customWidth="1"/>
    <col min="1033" max="1033" width="11.33203125" style="42" customWidth="1"/>
    <col min="1034" max="1034" width="9.5546875" style="42" customWidth="1"/>
    <col min="1035" max="1281" width="9.109375" style="42"/>
    <col min="1282" max="1282" width="21.5546875" style="42" customWidth="1"/>
    <col min="1283" max="1283" width="13.6640625" style="42" customWidth="1"/>
    <col min="1284" max="1284" width="12.109375" style="42" customWidth="1"/>
    <col min="1285" max="1285" width="10.6640625" style="42" customWidth="1"/>
    <col min="1286" max="1286" width="21.6640625" style="42" customWidth="1"/>
    <col min="1287" max="1287" width="15.109375" style="42" customWidth="1"/>
    <col min="1288" max="1288" width="10.33203125" style="42" customWidth="1"/>
    <col min="1289" max="1289" width="11.33203125" style="42" customWidth="1"/>
    <col min="1290" max="1290" width="9.5546875" style="42" customWidth="1"/>
    <col min="1291" max="1537" width="9.109375" style="42"/>
    <col min="1538" max="1538" width="21.5546875" style="42" customWidth="1"/>
    <col min="1539" max="1539" width="13.6640625" style="42" customWidth="1"/>
    <col min="1540" max="1540" width="12.109375" style="42" customWidth="1"/>
    <col min="1541" max="1541" width="10.6640625" style="42" customWidth="1"/>
    <col min="1542" max="1542" width="21.6640625" style="42" customWidth="1"/>
    <col min="1543" max="1543" width="15.109375" style="42" customWidth="1"/>
    <col min="1544" max="1544" width="10.33203125" style="42" customWidth="1"/>
    <col min="1545" max="1545" width="11.33203125" style="42" customWidth="1"/>
    <col min="1546" max="1546" width="9.5546875" style="42" customWidth="1"/>
    <col min="1547" max="1793" width="9.109375" style="42"/>
    <col min="1794" max="1794" width="21.5546875" style="42" customWidth="1"/>
    <col min="1795" max="1795" width="13.6640625" style="42" customWidth="1"/>
    <col min="1796" max="1796" width="12.109375" style="42" customWidth="1"/>
    <col min="1797" max="1797" width="10.6640625" style="42" customWidth="1"/>
    <col min="1798" max="1798" width="21.6640625" style="42" customWidth="1"/>
    <col min="1799" max="1799" width="15.109375" style="42" customWidth="1"/>
    <col min="1800" max="1800" width="10.33203125" style="42" customWidth="1"/>
    <col min="1801" max="1801" width="11.33203125" style="42" customWidth="1"/>
    <col min="1802" max="1802" width="9.5546875" style="42" customWidth="1"/>
    <col min="1803" max="2049" width="9.109375" style="42"/>
    <col min="2050" max="2050" width="21.5546875" style="42" customWidth="1"/>
    <col min="2051" max="2051" width="13.6640625" style="42" customWidth="1"/>
    <col min="2052" max="2052" width="12.109375" style="42" customWidth="1"/>
    <col min="2053" max="2053" width="10.6640625" style="42" customWidth="1"/>
    <col min="2054" max="2054" width="21.6640625" style="42" customWidth="1"/>
    <col min="2055" max="2055" width="15.109375" style="42" customWidth="1"/>
    <col min="2056" max="2056" width="10.33203125" style="42" customWidth="1"/>
    <col min="2057" max="2057" width="11.33203125" style="42" customWidth="1"/>
    <col min="2058" max="2058" width="9.5546875" style="42" customWidth="1"/>
    <col min="2059" max="2305" width="9.109375" style="42"/>
    <col min="2306" max="2306" width="21.5546875" style="42" customWidth="1"/>
    <col min="2307" max="2307" width="13.6640625" style="42" customWidth="1"/>
    <col min="2308" max="2308" width="12.109375" style="42" customWidth="1"/>
    <col min="2309" max="2309" width="10.6640625" style="42" customWidth="1"/>
    <col min="2310" max="2310" width="21.6640625" style="42" customWidth="1"/>
    <col min="2311" max="2311" width="15.109375" style="42" customWidth="1"/>
    <col min="2312" max="2312" width="10.33203125" style="42" customWidth="1"/>
    <col min="2313" max="2313" width="11.33203125" style="42" customWidth="1"/>
    <col min="2314" max="2314" width="9.5546875" style="42" customWidth="1"/>
    <col min="2315" max="2561" width="9.109375" style="42"/>
    <col min="2562" max="2562" width="21.5546875" style="42" customWidth="1"/>
    <col min="2563" max="2563" width="13.6640625" style="42" customWidth="1"/>
    <col min="2564" max="2564" width="12.109375" style="42" customWidth="1"/>
    <col min="2565" max="2565" width="10.6640625" style="42" customWidth="1"/>
    <col min="2566" max="2566" width="21.6640625" style="42" customWidth="1"/>
    <col min="2567" max="2567" width="15.109375" style="42" customWidth="1"/>
    <col min="2568" max="2568" width="10.33203125" style="42" customWidth="1"/>
    <col min="2569" max="2569" width="11.33203125" style="42" customWidth="1"/>
    <col min="2570" max="2570" width="9.5546875" style="42" customWidth="1"/>
    <col min="2571" max="2817" width="9.109375" style="42"/>
    <col min="2818" max="2818" width="21.5546875" style="42" customWidth="1"/>
    <col min="2819" max="2819" width="13.6640625" style="42" customWidth="1"/>
    <col min="2820" max="2820" width="12.109375" style="42" customWidth="1"/>
    <col min="2821" max="2821" width="10.6640625" style="42" customWidth="1"/>
    <col min="2822" max="2822" width="21.6640625" style="42" customWidth="1"/>
    <col min="2823" max="2823" width="15.109375" style="42" customWidth="1"/>
    <col min="2824" max="2824" width="10.33203125" style="42" customWidth="1"/>
    <col min="2825" max="2825" width="11.33203125" style="42" customWidth="1"/>
    <col min="2826" max="2826" width="9.5546875" style="42" customWidth="1"/>
    <col min="2827" max="3073" width="9.109375" style="42"/>
    <col min="3074" max="3074" width="21.5546875" style="42" customWidth="1"/>
    <col min="3075" max="3075" width="13.6640625" style="42" customWidth="1"/>
    <col min="3076" max="3076" width="12.109375" style="42" customWidth="1"/>
    <col min="3077" max="3077" width="10.6640625" style="42" customWidth="1"/>
    <col min="3078" max="3078" width="21.6640625" style="42" customWidth="1"/>
    <col min="3079" max="3079" width="15.109375" style="42" customWidth="1"/>
    <col min="3080" max="3080" width="10.33203125" style="42" customWidth="1"/>
    <col min="3081" max="3081" width="11.33203125" style="42" customWidth="1"/>
    <col min="3082" max="3082" width="9.5546875" style="42" customWidth="1"/>
    <col min="3083" max="3329" width="9.109375" style="42"/>
    <col min="3330" max="3330" width="21.5546875" style="42" customWidth="1"/>
    <col min="3331" max="3331" width="13.6640625" style="42" customWidth="1"/>
    <col min="3332" max="3332" width="12.109375" style="42" customWidth="1"/>
    <col min="3333" max="3333" width="10.6640625" style="42" customWidth="1"/>
    <col min="3334" max="3334" width="21.6640625" style="42" customWidth="1"/>
    <col min="3335" max="3335" width="15.109375" style="42" customWidth="1"/>
    <col min="3336" max="3336" width="10.33203125" style="42" customWidth="1"/>
    <col min="3337" max="3337" width="11.33203125" style="42" customWidth="1"/>
    <col min="3338" max="3338" width="9.5546875" style="42" customWidth="1"/>
    <col min="3339" max="3585" width="9.109375" style="42"/>
    <col min="3586" max="3586" width="21.5546875" style="42" customWidth="1"/>
    <col min="3587" max="3587" width="13.6640625" style="42" customWidth="1"/>
    <col min="3588" max="3588" width="12.109375" style="42" customWidth="1"/>
    <col min="3589" max="3589" width="10.6640625" style="42" customWidth="1"/>
    <col min="3590" max="3590" width="21.6640625" style="42" customWidth="1"/>
    <col min="3591" max="3591" width="15.109375" style="42" customWidth="1"/>
    <col min="3592" max="3592" width="10.33203125" style="42" customWidth="1"/>
    <col min="3593" max="3593" width="11.33203125" style="42" customWidth="1"/>
    <col min="3594" max="3594" width="9.5546875" style="42" customWidth="1"/>
    <col min="3595" max="3841" width="9.109375" style="42"/>
    <col min="3842" max="3842" width="21.5546875" style="42" customWidth="1"/>
    <col min="3843" max="3843" width="13.6640625" style="42" customWidth="1"/>
    <col min="3844" max="3844" width="12.109375" style="42" customWidth="1"/>
    <col min="3845" max="3845" width="10.6640625" style="42" customWidth="1"/>
    <col min="3846" max="3846" width="21.6640625" style="42" customWidth="1"/>
    <col min="3847" max="3847" width="15.109375" style="42" customWidth="1"/>
    <col min="3848" max="3848" width="10.33203125" style="42" customWidth="1"/>
    <col min="3849" max="3849" width="11.33203125" style="42" customWidth="1"/>
    <col min="3850" max="3850" width="9.5546875" style="42" customWidth="1"/>
    <col min="3851" max="4097" width="9.109375" style="42"/>
    <col min="4098" max="4098" width="21.5546875" style="42" customWidth="1"/>
    <col min="4099" max="4099" width="13.6640625" style="42" customWidth="1"/>
    <col min="4100" max="4100" width="12.109375" style="42" customWidth="1"/>
    <col min="4101" max="4101" width="10.6640625" style="42" customWidth="1"/>
    <col min="4102" max="4102" width="21.6640625" style="42" customWidth="1"/>
    <col min="4103" max="4103" width="15.109375" style="42" customWidth="1"/>
    <col min="4104" max="4104" width="10.33203125" style="42" customWidth="1"/>
    <col min="4105" max="4105" width="11.33203125" style="42" customWidth="1"/>
    <col min="4106" max="4106" width="9.5546875" style="42" customWidth="1"/>
    <col min="4107" max="4353" width="9.109375" style="42"/>
    <col min="4354" max="4354" width="21.5546875" style="42" customWidth="1"/>
    <col min="4355" max="4355" width="13.6640625" style="42" customWidth="1"/>
    <col min="4356" max="4356" width="12.109375" style="42" customWidth="1"/>
    <col min="4357" max="4357" width="10.6640625" style="42" customWidth="1"/>
    <col min="4358" max="4358" width="21.6640625" style="42" customWidth="1"/>
    <col min="4359" max="4359" width="15.109375" style="42" customWidth="1"/>
    <col min="4360" max="4360" width="10.33203125" style="42" customWidth="1"/>
    <col min="4361" max="4361" width="11.33203125" style="42" customWidth="1"/>
    <col min="4362" max="4362" width="9.5546875" style="42" customWidth="1"/>
    <col min="4363" max="4609" width="9.109375" style="42"/>
    <col min="4610" max="4610" width="21.5546875" style="42" customWidth="1"/>
    <col min="4611" max="4611" width="13.6640625" style="42" customWidth="1"/>
    <col min="4612" max="4612" width="12.109375" style="42" customWidth="1"/>
    <col min="4613" max="4613" width="10.6640625" style="42" customWidth="1"/>
    <col min="4614" max="4614" width="21.6640625" style="42" customWidth="1"/>
    <col min="4615" max="4615" width="15.109375" style="42" customWidth="1"/>
    <col min="4616" max="4616" width="10.33203125" style="42" customWidth="1"/>
    <col min="4617" max="4617" width="11.33203125" style="42" customWidth="1"/>
    <col min="4618" max="4618" width="9.5546875" style="42" customWidth="1"/>
    <col min="4619" max="4865" width="9.109375" style="42"/>
    <col min="4866" max="4866" width="21.5546875" style="42" customWidth="1"/>
    <col min="4867" max="4867" width="13.6640625" style="42" customWidth="1"/>
    <col min="4868" max="4868" width="12.109375" style="42" customWidth="1"/>
    <col min="4869" max="4869" width="10.6640625" style="42" customWidth="1"/>
    <col min="4870" max="4870" width="21.6640625" style="42" customWidth="1"/>
    <col min="4871" max="4871" width="15.109375" style="42" customWidth="1"/>
    <col min="4872" max="4872" width="10.33203125" style="42" customWidth="1"/>
    <col min="4873" max="4873" width="11.33203125" style="42" customWidth="1"/>
    <col min="4874" max="4874" width="9.5546875" style="42" customWidth="1"/>
    <col min="4875" max="5121" width="9.109375" style="42"/>
    <col min="5122" max="5122" width="21.5546875" style="42" customWidth="1"/>
    <col min="5123" max="5123" width="13.6640625" style="42" customWidth="1"/>
    <col min="5124" max="5124" width="12.109375" style="42" customWidth="1"/>
    <col min="5125" max="5125" width="10.6640625" style="42" customWidth="1"/>
    <col min="5126" max="5126" width="21.6640625" style="42" customWidth="1"/>
    <col min="5127" max="5127" width="15.109375" style="42" customWidth="1"/>
    <col min="5128" max="5128" width="10.33203125" style="42" customWidth="1"/>
    <col min="5129" max="5129" width="11.33203125" style="42" customWidth="1"/>
    <col min="5130" max="5130" width="9.5546875" style="42" customWidth="1"/>
    <col min="5131" max="5377" width="9.109375" style="42"/>
    <col min="5378" max="5378" width="21.5546875" style="42" customWidth="1"/>
    <col min="5379" max="5379" width="13.6640625" style="42" customWidth="1"/>
    <col min="5380" max="5380" width="12.109375" style="42" customWidth="1"/>
    <col min="5381" max="5381" width="10.6640625" style="42" customWidth="1"/>
    <col min="5382" max="5382" width="21.6640625" style="42" customWidth="1"/>
    <col min="5383" max="5383" width="15.109375" style="42" customWidth="1"/>
    <col min="5384" max="5384" width="10.33203125" style="42" customWidth="1"/>
    <col min="5385" max="5385" width="11.33203125" style="42" customWidth="1"/>
    <col min="5386" max="5386" width="9.5546875" style="42" customWidth="1"/>
    <col min="5387" max="5633" width="9.109375" style="42"/>
    <col min="5634" max="5634" width="21.5546875" style="42" customWidth="1"/>
    <col min="5635" max="5635" width="13.6640625" style="42" customWidth="1"/>
    <col min="5636" max="5636" width="12.109375" style="42" customWidth="1"/>
    <col min="5637" max="5637" width="10.6640625" style="42" customWidth="1"/>
    <col min="5638" max="5638" width="21.6640625" style="42" customWidth="1"/>
    <col min="5639" max="5639" width="15.109375" style="42" customWidth="1"/>
    <col min="5640" max="5640" width="10.33203125" style="42" customWidth="1"/>
    <col min="5641" max="5641" width="11.33203125" style="42" customWidth="1"/>
    <col min="5642" max="5642" width="9.5546875" style="42" customWidth="1"/>
    <col min="5643" max="5889" width="9.109375" style="42"/>
    <col min="5890" max="5890" width="21.5546875" style="42" customWidth="1"/>
    <col min="5891" max="5891" width="13.6640625" style="42" customWidth="1"/>
    <col min="5892" max="5892" width="12.109375" style="42" customWidth="1"/>
    <col min="5893" max="5893" width="10.6640625" style="42" customWidth="1"/>
    <col min="5894" max="5894" width="21.6640625" style="42" customWidth="1"/>
    <col min="5895" max="5895" width="15.109375" style="42" customWidth="1"/>
    <col min="5896" max="5896" width="10.33203125" style="42" customWidth="1"/>
    <col min="5897" max="5897" width="11.33203125" style="42" customWidth="1"/>
    <col min="5898" max="5898" width="9.5546875" style="42" customWidth="1"/>
    <col min="5899" max="6145" width="9.109375" style="42"/>
    <col min="6146" max="6146" width="21.5546875" style="42" customWidth="1"/>
    <col min="6147" max="6147" width="13.6640625" style="42" customWidth="1"/>
    <col min="6148" max="6148" width="12.109375" style="42" customWidth="1"/>
    <col min="6149" max="6149" width="10.6640625" style="42" customWidth="1"/>
    <col min="6150" max="6150" width="21.6640625" style="42" customWidth="1"/>
    <col min="6151" max="6151" width="15.109375" style="42" customWidth="1"/>
    <col min="6152" max="6152" width="10.33203125" style="42" customWidth="1"/>
    <col min="6153" max="6153" width="11.33203125" style="42" customWidth="1"/>
    <col min="6154" max="6154" width="9.5546875" style="42" customWidth="1"/>
    <col min="6155" max="6401" width="9.109375" style="42"/>
    <col min="6402" max="6402" width="21.5546875" style="42" customWidth="1"/>
    <col min="6403" max="6403" width="13.6640625" style="42" customWidth="1"/>
    <col min="6404" max="6404" width="12.109375" style="42" customWidth="1"/>
    <col min="6405" max="6405" width="10.6640625" style="42" customWidth="1"/>
    <col min="6406" max="6406" width="21.6640625" style="42" customWidth="1"/>
    <col min="6407" max="6407" width="15.109375" style="42" customWidth="1"/>
    <col min="6408" max="6408" width="10.33203125" style="42" customWidth="1"/>
    <col min="6409" max="6409" width="11.33203125" style="42" customWidth="1"/>
    <col min="6410" max="6410" width="9.5546875" style="42" customWidth="1"/>
    <col min="6411" max="6657" width="9.109375" style="42"/>
    <col min="6658" max="6658" width="21.5546875" style="42" customWidth="1"/>
    <col min="6659" max="6659" width="13.6640625" style="42" customWidth="1"/>
    <col min="6660" max="6660" width="12.109375" style="42" customWidth="1"/>
    <col min="6661" max="6661" width="10.6640625" style="42" customWidth="1"/>
    <col min="6662" max="6662" width="21.6640625" style="42" customWidth="1"/>
    <col min="6663" max="6663" width="15.109375" style="42" customWidth="1"/>
    <col min="6664" max="6664" width="10.33203125" style="42" customWidth="1"/>
    <col min="6665" max="6665" width="11.33203125" style="42" customWidth="1"/>
    <col min="6666" max="6666" width="9.5546875" style="42" customWidth="1"/>
    <col min="6667" max="6913" width="9.109375" style="42"/>
    <col min="6914" max="6914" width="21.5546875" style="42" customWidth="1"/>
    <col min="6915" max="6915" width="13.6640625" style="42" customWidth="1"/>
    <col min="6916" max="6916" width="12.109375" style="42" customWidth="1"/>
    <col min="6917" max="6917" width="10.6640625" style="42" customWidth="1"/>
    <col min="6918" max="6918" width="21.6640625" style="42" customWidth="1"/>
    <col min="6919" max="6919" width="15.109375" style="42" customWidth="1"/>
    <col min="6920" max="6920" width="10.33203125" style="42" customWidth="1"/>
    <col min="6921" max="6921" width="11.33203125" style="42" customWidth="1"/>
    <col min="6922" max="6922" width="9.5546875" style="42" customWidth="1"/>
    <col min="6923" max="7169" width="9.109375" style="42"/>
    <col min="7170" max="7170" width="21.5546875" style="42" customWidth="1"/>
    <col min="7171" max="7171" width="13.6640625" style="42" customWidth="1"/>
    <col min="7172" max="7172" width="12.109375" style="42" customWidth="1"/>
    <col min="7173" max="7173" width="10.6640625" style="42" customWidth="1"/>
    <col min="7174" max="7174" width="21.6640625" style="42" customWidth="1"/>
    <col min="7175" max="7175" width="15.109375" style="42" customWidth="1"/>
    <col min="7176" max="7176" width="10.33203125" style="42" customWidth="1"/>
    <col min="7177" max="7177" width="11.33203125" style="42" customWidth="1"/>
    <col min="7178" max="7178" width="9.5546875" style="42" customWidth="1"/>
    <col min="7179" max="7425" width="9.109375" style="42"/>
    <col min="7426" max="7426" width="21.5546875" style="42" customWidth="1"/>
    <col min="7427" max="7427" width="13.6640625" style="42" customWidth="1"/>
    <col min="7428" max="7428" width="12.109375" style="42" customWidth="1"/>
    <col min="7429" max="7429" width="10.6640625" style="42" customWidth="1"/>
    <col min="7430" max="7430" width="21.6640625" style="42" customWidth="1"/>
    <col min="7431" max="7431" width="15.109375" style="42" customWidth="1"/>
    <col min="7432" max="7432" width="10.33203125" style="42" customWidth="1"/>
    <col min="7433" max="7433" width="11.33203125" style="42" customWidth="1"/>
    <col min="7434" max="7434" width="9.5546875" style="42" customWidth="1"/>
    <col min="7435" max="7681" width="9.109375" style="42"/>
    <col min="7682" max="7682" width="21.5546875" style="42" customWidth="1"/>
    <col min="7683" max="7683" width="13.6640625" style="42" customWidth="1"/>
    <col min="7684" max="7684" width="12.109375" style="42" customWidth="1"/>
    <col min="7685" max="7685" width="10.6640625" style="42" customWidth="1"/>
    <col min="7686" max="7686" width="21.6640625" style="42" customWidth="1"/>
    <col min="7687" max="7687" width="15.109375" style="42" customWidth="1"/>
    <col min="7688" max="7688" width="10.33203125" style="42" customWidth="1"/>
    <col min="7689" max="7689" width="11.33203125" style="42" customWidth="1"/>
    <col min="7690" max="7690" width="9.5546875" style="42" customWidth="1"/>
    <col min="7691" max="7937" width="9.109375" style="42"/>
    <col min="7938" max="7938" width="21.5546875" style="42" customWidth="1"/>
    <col min="7939" max="7939" width="13.6640625" style="42" customWidth="1"/>
    <col min="7940" max="7940" width="12.109375" style="42" customWidth="1"/>
    <col min="7941" max="7941" width="10.6640625" style="42" customWidth="1"/>
    <col min="7942" max="7942" width="21.6640625" style="42" customWidth="1"/>
    <col min="7943" max="7943" width="15.109375" style="42" customWidth="1"/>
    <col min="7944" max="7944" width="10.33203125" style="42" customWidth="1"/>
    <col min="7945" max="7945" width="11.33203125" style="42" customWidth="1"/>
    <col min="7946" max="7946" width="9.5546875" style="42" customWidth="1"/>
    <col min="7947" max="8193" width="9.109375" style="42"/>
    <col min="8194" max="8194" width="21.5546875" style="42" customWidth="1"/>
    <col min="8195" max="8195" width="13.6640625" style="42" customWidth="1"/>
    <col min="8196" max="8196" width="12.109375" style="42" customWidth="1"/>
    <col min="8197" max="8197" width="10.6640625" style="42" customWidth="1"/>
    <col min="8198" max="8198" width="21.6640625" style="42" customWidth="1"/>
    <col min="8199" max="8199" width="15.109375" style="42" customWidth="1"/>
    <col min="8200" max="8200" width="10.33203125" style="42" customWidth="1"/>
    <col min="8201" max="8201" width="11.33203125" style="42" customWidth="1"/>
    <col min="8202" max="8202" width="9.5546875" style="42" customWidth="1"/>
    <col min="8203" max="8449" width="9.109375" style="42"/>
    <col min="8450" max="8450" width="21.5546875" style="42" customWidth="1"/>
    <col min="8451" max="8451" width="13.6640625" style="42" customWidth="1"/>
    <col min="8452" max="8452" width="12.109375" style="42" customWidth="1"/>
    <col min="8453" max="8453" width="10.6640625" style="42" customWidth="1"/>
    <col min="8454" max="8454" width="21.6640625" style="42" customWidth="1"/>
    <col min="8455" max="8455" width="15.109375" style="42" customWidth="1"/>
    <col min="8456" max="8456" width="10.33203125" style="42" customWidth="1"/>
    <col min="8457" max="8457" width="11.33203125" style="42" customWidth="1"/>
    <col min="8458" max="8458" width="9.5546875" style="42" customWidth="1"/>
    <col min="8459" max="8705" width="9.109375" style="42"/>
    <col min="8706" max="8706" width="21.5546875" style="42" customWidth="1"/>
    <col min="8707" max="8707" width="13.6640625" style="42" customWidth="1"/>
    <col min="8708" max="8708" width="12.109375" style="42" customWidth="1"/>
    <col min="8709" max="8709" width="10.6640625" style="42" customWidth="1"/>
    <col min="8710" max="8710" width="21.6640625" style="42" customWidth="1"/>
    <col min="8711" max="8711" width="15.109375" style="42" customWidth="1"/>
    <col min="8712" max="8712" width="10.33203125" style="42" customWidth="1"/>
    <col min="8713" max="8713" width="11.33203125" style="42" customWidth="1"/>
    <col min="8714" max="8714" width="9.5546875" style="42" customWidth="1"/>
    <col min="8715" max="8961" width="9.109375" style="42"/>
    <col min="8962" max="8962" width="21.5546875" style="42" customWidth="1"/>
    <col min="8963" max="8963" width="13.6640625" style="42" customWidth="1"/>
    <col min="8964" max="8964" width="12.109375" style="42" customWidth="1"/>
    <col min="8965" max="8965" width="10.6640625" style="42" customWidth="1"/>
    <col min="8966" max="8966" width="21.6640625" style="42" customWidth="1"/>
    <col min="8967" max="8967" width="15.109375" style="42" customWidth="1"/>
    <col min="8968" max="8968" width="10.33203125" style="42" customWidth="1"/>
    <col min="8969" max="8969" width="11.33203125" style="42" customWidth="1"/>
    <col min="8970" max="8970" width="9.5546875" style="42" customWidth="1"/>
    <col min="8971" max="9217" width="9.109375" style="42"/>
    <col min="9218" max="9218" width="21.5546875" style="42" customWidth="1"/>
    <col min="9219" max="9219" width="13.6640625" style="42" customWidth="1"/>
    <col min="9220" max="9220" width="12.109375" style="42" customWidth="1"/>
    <col min="9221" max="9221" width="10.6640625" style="42" customWidth="1"/>
    <col min="9222" max="9222" width="21.6640625" style="42" customWidth="1"/>
    <col min="9223" max="9223" width="15.109375" style="42" customWidth="1"/>
    <col min="9224" max="9224" width="10.33203125" style="42" customWidth="1"/>
    <col min="9225" max="9225" width="11.33203125" style="42" customWidth="1"/>
    <col min="9226" max="9226" width="9.5546875" style="42" customWidth="1"/>
    <col min="9227" max="9473" width="9.109375" style="42"/>
    <col min="9474" max="9474" width="21.5546875" style="42" customWidth="1"/>
    <col min="9475" max="9475" width="13.6640625" style="42" customWidth="1"/>
    <col min="9476" max="9476" width="12.109375" style="42" customWidth="1"/>
    <col min="9477" max="9477" width="10.6640625" style="42" customWidth="1"/>
    <col min="9478" max="9478" width="21.6640625" style="42" customWidth="1"/>
    <col min="9479" max="9479" width="15.109375" style="42" customWidth="1"/>
    <col min="9480" max="9480" width="10.33203125" style="42" customWidth="1"/>
    <col min="9481" max="9481" width="11.33203125" style="42" customWidth="1"/>
    <col min="9482" max="9482" width="9.5546875" style="42" customWidth="1"/>
    <col min="9483" max="9729" width="9.109375" style="42"/>
    <col min="9730" max="9730" width="21.5546875" style="42" customWidth="1"/>
    <col min="9731" max="9731" width="13.6640625" style="42" customWidth="1"/>
    <col min="9732" max="9732" width="12.109375" style="42" customWidth="1"/>
    <col min="9733" max="9733" width="10.6640625" style="42" customWidth="1"/>
    <col min="9734" max="9734" width="21.6640625" style="42" customWidth="1"/>
    <col min="9735" max="9735" width="15.109375" style="42" customWidth="1"/>
    <col min="9736" max="9736" width="10.33203125" style="42" customWidth="1"/>
    <col min="9737" max="9737" width="11.33203125" style="42" customWidth="1"/>
    <col min="9738" max="9738" width="9.5546875" style="42" customWidth="1"/>
    <col min="9739" max="9985" width="9.109375" style="42"/>
    <col min="9986" max="9986" width="21.5546875" style="42" customWidth="1"/>
    <col min="9987" max="9987" width="13.6640625" style="42" customWidth="1"/>
    <col min="9988" max="9988" width="12.109375" style="42" customWidth="1"/>
    <col min="9989" max="9989" width="10.6640625" style="42" customWidth="1"/>
    <col min="9990" max="9990" width="21.6640625" style="42" customWidth="1"/>
    <col min="9991" max="9991" width="15.109375" style="42" customWidth="1"/>
    <col min="9992" max="9992" width="10.33203125" style="42" customWidth="1"/>
    <col min="9993" max="9993" width="11.33203125" style="42" customWidth="1"/>
    <col min="9994" max="9994" width="9.5546875" style="42" customWidth="1"/>
    <col min="9995" max="10241" width="9.109375" style="42"/>
    <col min="10242" max="10242" width="21.5546875" style="42" customWidth="1"/>
    <col min="10243" max="10243" width="13.6640625" style="42" customWidth="1"/>
    <col min="10244" max="10244" width="12.109375" style="42" customWidth="1"/>
    <col min="10245" max="10245" width="10.6640625" style="42" customWidth="1"/>
    <col min="10246" max="10246" width="21.6640625" style="42" customWidth="1"/>
    <col min="10247" max="10247" width="15.109375" style="42" customWidth="1"/>
    <col min="10248" max="10248" width="10.33203125" style="42" customWidth="1"/>
    <col min="10249" max="10249" width="11.33203125" style="42" customWidth="1"/>
    <col min="10250" max="10250" width="9.5546875" style="42" customWidth="1"/>
    <col min="10251" max="10497" width="9.109375" style="42"/>
    <col min="10498" max="10498" width="21.5546875" style="42" customWidth="1"/>
    <col min="10499" max="10499" width="13.6640625" style="42" customWidth="1"/>
    <col min="10500" max="10500" width="12.109375" style="42" customWidth="1"/>
    <col min="10501" max="10501" width="10.6640625" style="42" customWidth="1"/>
    <col min="10502" max="10502" width="21.6640625" style="42" customWidth="1"/>
    <col min="10503" max="10503" width="15.109375" style="42" customWidth="1"/>
    <col min="10504" max="10504" width="10.33203125" style="42" customWidth="1"/>
    <col min="10505" max="10505" width="11.33203125" style="42" customWidth="1"/>
    <col min="10506" max="10506" width="9.5546875" style="42" customWidth="1"/>
    <col min="10507" max="10753" width="9.109375" style="42"/>
    <col min="10754" max="10754" width="21.5546875" style="42" customWidth="1"/>
    <col min="10755" max="10755" width="13.6640625" style="42" customWidth="1"/>
    <col min="10756" max="10756" width="12.109375" style="42" customWidth="1"/>
    <col min="10757" max="10757" width="10.6640625" style="42" customWidth="1"/>
    <col min="10758" max="10758" width="21.6640625" style="42" customWidth="1"/>
    <col min="10759" max="10759" width="15.109375" style="42" customWidth="1"/>
    <col min="10760" max="10760" width="10.33203125" style="42" customWidth="1"/>
    <col min="10761" max="10761" width="11.33203125" style="42" customWidth="1"/>
    <col min="10762" max="10762" width="9.5546875" style="42" customWidth="1"/>
    <col min="10763" max="11009" width="9.109375" style="42"/>
    <col min="11010" max="11010" width="21.5546875" style="42" customWidth="1"/>
    <col min="11011" max="11011" width="13.6640625" style="42" customWidth="1"/>
    <col min="11012" max="11012" width="12.109375" style="42" customWidth="1"/>
    <col min="11013" max="11013" width="10.6640625" style="42" customWidth="1"/>
    <col min="11014" max="11014" width="21.6640625" style="42" customWidth="1"/>
    <col min="11015" max="11015" width="15.109375" style="42" customWidth="1"/>
    <col min="11016" max="11016" width="10.33203125" style="42" customWidth="1"/>
    <col min="11017" max="11017" width="11.33203125" style="42" customWidth="1"/>
    <col min="11018" max="11018" width="9.5546875" style="42" customWidth="1"/>
    <col min="11019" max="11265" width="9.109375" style="42"/>
    <col min="11266" max="11266" width="21.5546875" style="42" customWidth="1"/>
    <col min="11267" max="11267" width="13.6640625" style="42" customWidth="1"/>
    <col min="11268" max="11268" width="12.109375" style="42" customWidth="1"/>
    <col min="11269" max="11269" width="10.6640625" style="42" customWidth="1"/>
    <col min="11270" max="11270" width="21.6640625" style="42" customWidth="1"/>
    <col min="11271" max="11271" width="15.109375" style="42" customWidth="1"/>
    <col min="11272" max="11272" width="10.33203125" style="42" customWidth="1"/>
    <col min="11273" max="11273" width="11.33203125" style="42" customWidth="1"/>
    <col min="11274" max="11274" width="9.5546875" style="42" customWidth="1"/>
    <col min="11275" max="11521" width="9.109375" style="42"/>
    <col min="11522" max="11522" width="21.5546875" style="42" customWidth="1"/>
    <col min="11523" max="11523" width="13.6640625" style="42" customWidth="1"/>
    <col min="11524" max="11524" width="12.109375" style="42" customWidth="1"/>
    <col min="11525" max="11525" width="10.6640625" style="42" customWidth="1"/>
    <col min="11526" max="11526" width="21.6640625" style="42" customWidth="1"/>
    <col min="11527" max="11527" width="15.109375" style="42" customWidth="1"/>
    <col min="11528" max="11528" width="10.33203125" style="42" customWidth="1"/>
    <col min="11529" max="11529" width="11.33203125" style="42" customWidth="1"/>
    <col min="11530" max="11530" width="9.5546875" style="42" customWidth="1"/>
    <col min="11531" max="11777" width="9.109375" style="42"/>
    <col min="11778" max="11778" width="21.5546875" style="42" customWidth="1"/>
    <col min="11779" max="11779" width="13.6640625" style="42" customWidth="1"/>
    <col min="11780" max="11780" width="12.109375" style="42" customWidth="1"/>
    <col min="11781" max="11781" width="10.6640625" style="42" customWidth="1"/>
    <col min="11782" max="11782" width="21.6640625" style="42" customWidth="1"/>
    <col min="11783" max="11783" width="15.109375" style="42" customWidth="1"/>
    <col min="11784" max="11784" width="10.33203125" style="42" customWidth="1"/>
    <col min="11785" max="11785" width="11.33203125" style="42" customWidth="1"/>
    <col min="11786" max="11786" width="9.5546875" style="42" customWidth="1"/>
    <col min="11787" max="12033" width="9.109375" style="42"/>
    <col min="12034" max="12034" width="21.5546875" style="42" customWidth="1"/>
    <col min="12035" max="12035" width="13.6640625" style="42" customWidth="1"/>
    <col min="12036" max="12036" width="12.109375" style="42" customWidth="1"/>
    <col min="12037" max="12037" width="10.6640625" style="42" customWidth="1"/>
    <col min="12038" max="12038" width="21.6640625" style="42" customWidth="1"/>
    <col min="12039" max="12039" width="15.109375" style="42" customWidth="1"/>
    <col min="12040" max="12040" width="10.33203125" style="42" customWidth="1"/>
    <col min="12041" max="12041" width="11.33203125" style="42" customWidth="1"/>
    <col min="12042" max="12042" width="9.5546875" style="42" customWidth="1"/>
    <col min="12043" max="12289" width="9.109375" style="42"/>
    <col min="12290" max="12290" width="21.5546875" style="42" customWidth="1"/>
    <col min="12291" max="12291" width="13.6640625" style="42" customWidth="1"/>
    <col min="12292" max="12292" width="12.109375" style="42" customWidth="1"/>
    <col min="12293" max="12293" width="10.6640625" style="42" customWidth="1"/>
    <col min="12294" max="12294" width="21.6640625" style="42" customWidth="1"/>
    <col min="12295" max="12295" width="15.109375" style="42" customWidth="1"/>
    <col min="12296" max="12296" width="10.33203125" style="42" customWidth="1"/>
    <col min="12297" max="12297" width="11.33203125" style="42" customWidth="1"/>
    <col min="12298" max="12298" width="9.5546875" style="42" customWidth="1"/>
    <col min="12299" max="12545" width="9.109375" style="42"/>
    <col min="12546" max="12546" width="21.5546875" style="42" customWidth="1"/>
    <col min="12547" max="12547" width="13.6640625" style="42" customWidth="1"/>
    <col min="12548" max="12548" width="12.109375" style="42" customWidth="1"/>
    <col min="12549" max="12549" width="10.6640625" style="42" customWidth="1"/>
    <col min="12550" max="12550" width="21.6640625" style="42" customWidth="1"/>
    <col min="12551" max="12551" width="15.109375" style="42" customWidth="1"/>
    <col min="12552" max="12552" width="10.33203125" style="42" customWidth="1"/>
    <col min="12553" max="12553" width="11.33203125" style="42" customWidth="1"/>
    <col min="12554" max="12554" width="9.5546875" style="42" customWidth="1"/>
    <col min="12555" max="12801" width="9.109375" style="42"/>
    <col min="12802" max="12802" width="21.5546875" style="42" customWidth="1"/>
    <col min="12803" max="12803" width="13.6640625" style="42" customWidth="1"/>
    <col min="12804" max="12804" width="12.109375" style="42" customWidth="1"/>
    <col min="12805" max="12805" width="10.6640625" style="42" customWidth="1"/>
    <col min="12806" max="12806" width="21.6640625" style="42" customWidth="1"/>
    <col min="12807" max="12807" width="15.109375" style="42" customWidth="1"/>
    <col min="12808" max="12808" width="10.33203125" style="42" customWidth="1"/>
    <col min="12809" max="12809" width="11.33203125" style="42" customWidth="1"/>
    <col min="12810" max="12810" width="9.5546875" style="42" customWidth="1"/>
    <col min="12811" max="13057" width="9.109375" style="42"/>
    <col min="13058" max="13058" width="21.5546875" style="42" customWidth="1"/>
    <col min="13059" max="13059" width="13.6640625" style="42" customWidth="1"/>
    <col min="13060" max="13060" width="12.109375" style="42" customWidth="1"/>
    <col min="13061" max="13061" width="10.6640625" style="42" customWidth="1"/>
    <col min="13062" max="13062" width="21.6640625" style="42" customWidth="1"/>
    <col min="13063" max="13063" width="15.109375" style="42" customWidth="1"/>
    <col min="13064" max="13064" width="10.33203125" style="42" customWidth="1"/>
    <col min="13065" max="13065" width="11.33203125" style="42" customWidth="1"/>
    <col min="13066" max="13066" width="9.5546875" style="42" customWidth="1"/>
    <col min="13067" max="13313" width="9.109375" style="42"/>
    <col min="13314" max="13314" width="21.5546875" style="42" customWidth="1"/>
    <col min="13315" max="13315" width="13.6640625" style="42" customWidth="1"/>
    <col min="13316" max="13316" width="12.109375" style="42" customWidth="1"/>
    <col min="13317" max="13317" width="10.6640625" style="42" customWidth="1"/>
    <col min="13318" max="13318" width="21.6640625" style="42" customWidth="1"/>
    <col min="13319" max="13319" width="15.109375" style="42" customWidth="1"/>
    <col min="13320" max="13320" width="10.33203125" style="42" customWidth="1"/>
    <col min="13321" max="13321" width="11.33203125" style="42" customWidth="1"/>
    <col min="13322" max="13322" width="9.5546875" style="42" customWidth="1"/>
    <col min="13323" max="13569" width="9.109375" style="42"/>
    <col min="13570" max="13570" width="21.5546875" style="42" customWidth="1"/>
    <col min="13571" max="13571" width="13.6640625" style="42" customWidth="1"/>
    <col min="13572" max="13572" width="12.109375" style="42" customWidth="1"/>
    <col min="13573" max="13573" width="10.6640625" style="42" customWidth="1"/>
    <col min="13574" max="13574" width="21.6640625" style="42" customWidth="1"/>
    <col min="13575" max="13575" width="15.109375" style="42" customWidth="1"/>
    <col min="13576" max="13576" width="10.33203125" style="42" customWidth="1"/>
    <col min="13577" max="13577" width="11.33203125" style="42" customWidth="1"/>
    <col min="13578" max="13578" width="9.5546875" style="42" customWidth="1"/>
    <col min="13579" max="13825" width="9.109375" style="42"/>
    <col min="13826" max="13826" width="21.5546875" style="42" customWidth="1"/>
    <col min="13827" max="13827" width="13.6640625" style="42" customWidth="1"/>
    <col min="13828" max="13828" width="12.109375" style="42" customWidth="1"/>
    <col min="13829" max="13829" width="10.6640625" style="42" customWidth="1"/>
    <col min="13830" max="13830" width="21.6640625" style="42" customWidth="1"/>
    <col min="13831" max="13831" width="15.109375" style="42" customWidth="1"/>
    <col min="13832" max="13832" width="10.33203125" style="42" customWidth="1"/>
    <col min="13833" max="13833" width="11.33203125" style="42" customWidth="1"/>
    <col min="13834" max="13834" width="9.5546875" style="42" customWidth="1"/>
    <col min="13835" max="14081" width="9.109375" style="42"/>
    <col min="14082" max="14082" width="21.5546875" style="42" customWidth="1"/>
    <col min="14083" max="14083" width="13.6640625" style="42" customWidth="1"/>
    <col min="14084" max="14084" width="12.109375" style="42" customWidth="1"/>
    <col min="14085" max="14085" width="10.6640625" style="42" customWidth="1"/>
    <col min="14086" max="14086" width="21.6640625" style="42" customWidth="1"/>
    <col min="14087" max="14087" width="15.109375" style="42" customWidth="1"/>
    <col min="14088" max="14088" width="10.33203125" style="42" customWidth="1"/>
    <col min="14089" max="14089" width="11.33203125" style="42" customWidth="1"/>
    <col min="14090" max="14090" width="9.5546875" style="42" customWidth="1"/>
    <col min="14091" max="14337" width="9.109375" style="42"/>
    <col min="14338" max="14338" width="21.5546875" style="42" customWidth="1"/>
    <col min="14339" max="14339" width="13.6640625" style="42" customWidth="1"/>
    <col min="14340" max="14340" width="12.109375" style="42" customWidth="1"/>
    <col min="14341" max="14341" width="10.6640625" style="42" customWidth="1"/>
    <col min="14342" max="14342" width="21.6640625" style="42" customWidth="1"/>
    <col min="14343" max="14343" width="15.109375" style="42" customWidth="1"/>
    <col min="14344" max="14344" width="10.33203125" style="42" customWidth="1"/>
    <col min="14345" max="14345" width="11.33203125" style="42" customWidth="1"/>
    <col min="14346" max="14346" width="9.5546875" style="42" customWidth="1"/>
    <col min="14347" max="14593" width="9.109375" style="42"/>
    <col min="14594" max="14594" width="21.5546875" style="42" customWidth="1"/>
    <col min="14595" max="14595" width="13.6640625" style="42" customWidth="1"/>
    <col min="14596" max="14596" width="12.109375" style="42" customWidth="1"/>
    <col min="14597" max="14597" width="10.6640625" style="42" customWidth="1"/>
    <col min="14598" max="14598" width="21.6640625" style="42" customWidth="1"/>
    <col min="14599" max="14599" width="15.109375" style="42" customWidth="1"/>
    <col min="14600" max="14600" width="10.33203125" style="42" customWidth="1"/>
    <col min="14601" max="14601" width="11.33203125" style="42" customWidth="1"/>
    <col min="14602" max="14602" width="9.5546875" style="42" customWidth="1"/>
    <col min="14603" max="14849" width="9.109375" style="42"/>
    <col min="14850" max="14850" width="21.5546875" style="42" customWidth="1"/>
    <col min="14851" max="14851" width="13.6640625" style="42" customWidth="1"/>
    <col min="14852" max="14852" width="12.109375" style="42" customWidth="1"/>
    <col min="14853" max="14853" width="10.6640625" style="42" customWidth="1"/>
    <col min="14854" max="14854" width="21.6640625" style="42" customWidth="1"/>
    <col min="14855" max="14855" width="15.109375" style="42" customWidth="1"/>
    <col min="14856" max="14856" width="10.33203125" style="42" customWidth="1"/>
    <col min="14857" max="14857" width="11.33203125" style="42" customWidth="1"/>
    <col min="14858" max="14858" width="9.5546875" style="42" customWidth="1"/>
    <col min="14859" max="15105" width="9.109375" style="42"/>
    <col min="15106" max="15106" width="21.5546875" style="42" customWidth="1"/>
    <col min="15107" max="15107" width="13.6640625" style="42" customWidth="1"/>
    <col min="15108" max="15108" width="12.109375" style="42" customWidth="1"/>
    <col min="15109" max="15109" width="10.6640625" style="42" customWidth="1"/>
    <col min="15110" max="15110" width="21.6640625" style="42" customWidth="1"/>
    <col min="15111" max="15111" width="15.109375" style="42" customWidth="1"/>
    <col min="15112" max="15112" width="10.33203125" style="42" customWidth="1"/>
    <col min="15113" max="15113" width="11.33203125" style="42" customWidth="1"/>
    <col min="15114" max="15114" width="9.5546875" style="42" customWidth="1"/>
    <col min="15115" max="15361" width="9.109375" style="42"/>
    <col min="15362" max="15362" width="21.5546875" style="42" customWidth="1"/>
    <col min="15363" max="15363" width="13.6640625" style="42" customWidth="1"/>
    <col min="15364" max="15364" width="12.109375" style="42" customWidth="1"/>
    <col min="15365" max="15365" width="10.6640625" style="42" customWidth="1"/>
    <col min="15366" max="15366" width="21.6640625" style="42" customWidth="1"/>
    <col min="15367" max="15367" width="15.109375" style="42" customWidth="1"/>
    <col min="15368" max="15368" width="10.33203125" style="42" customWidth="1"/>
    <col min="15369" max="15369" width="11.33203125" style="42" customWidth="1"/>
    <col min="15370" max="15370" width="9.5546875" style="42" customWidth="1"/>
    <col min="15371" max="15617" width="9.109375" style="42"/>
    <col min="15618" max="15618" width="21.5546875" style="42" customWidth="1"/>
    <col min="15619" max="15619" width="13.6640625" style="42" customWidth="1"/>
    <col min="15620" max="15620" width="12.109375" style="42" customWidth="1"/>
    <col min="15621" max="15621" width="10.6640625" style="42" customWidth="1"/>
    <col min="15622" max="15622" width="21.6640625" style="42" customWidth="1"/>
    <col min="15623" max="15623" width="15.109375" style="42" customWidth="1"/>
    <col min="15624" max="15624" width="10.33203125" style="42" customWidth="1"/>
    <col min="15625" max="15625" width="11.33203125" style="42" customWidth="1"/>
    <col min="15626" max="15626" width="9.5546875" style="42" customWidth="1"/>
    <col min="15627" max="15873" width="9.109375" style="42"/>
    <col min="15874" max="15874" width="21.5546875" style="42" customWidth="1"/>
    <col min="15875" max="15875" width="13.6640625" style="42" customWidth="1"/>
    <col min="15876" max="15876" width="12.109375" style="42" customWidth="1"/>
    <col min="15877" max="15877" width="10.6640625" style="42" customWidth="1"/>
    <col min="15878" max="15878" width="21.6640625" style="42" customWidth="1"/>
    <col min="15879" max="15879" width="15.109375" style="42" customWidth="1"/>
    <col min="15880" max="15880" width="10.33203125" style="42" customWidth="1"/>
    <col min="15881" max="15881" width="11.33203125" style="42" customWidth="1"/>
    <col min="15882" max="15882" width="9.5546875" style="42" customWidth="1"/>
    <col min="15883" max="16129" width="9.109375" style="42"/>
    <col min="16130" max="16130" width="21.5546875" style="42" customWidth="1"/>
    <col min="16131" max="16131" width="13.6640625" style="42" customWidth="1"/>
    <col min="16132" max="16132" width="12.109375" style="42" customWidth="1"/>
    <col min="16133" max="16133" width="10.6640625" style="42" customWidth="1"/>
    <col min="16134" max="16134" width="21.6640625" style="42" customWidth="1"/>
    <col min="16135" max="16135" width="15.109375" style="42" customWidth="1"/>
    <col min="16136" max="16136" width="10.33203125" style="42" customWidth="1"/>
    <col min="16137" max="16137" width="11.33203125" style="42" customWidth="1"/>
    <col min="16138" max="16138" width="9.5546875" style="42" customWidth="1"/>
    <col min="16139" max="16384" width="9.109375" style="42"/>
  </cols>
  <sheetData>
    <row r="1" spans="1:10" ht="20.399999999999999">
      <c r="A1" s="133" t="s">
        <v>88</v>
      </c>
      <c r="B1" s="133"/>
      <c r="C1" s="133"/>
      <c r="D1" s="133"/>
      <c r="E1" s="133"/>
      <c r="F1" s="133"/>
      <c r="G1" s="133"/>
      <c r="H1" s="133"/>
      <c r="I1" s="133"/>
    </row>
    <row r="2" spans="1:10">
      <c r="A2" s="43"/>
      <c r="B2" s="134" t="s">
        <v>10</v>
      </c>
      <c r="C2" s="134"/>
      <c r="D2" s="134"/>
      <c r="E2" s="134"/>
      <c r="F2" s="134" t="s">
        <v>11</v>
      </c>
      <c r="G2" s="134"/>
      <c r="H2" s="134"/>
      <c r="I2" s="134"/>
    </row>
    <row r="3" spans="1:10" ht="31.2">
      <c r="A3" s="40"/>
      <c r="B3" s="39" t="s">
        <v>91</v>
      </c>
      <c r="C3" s="40" t="s">
        <v>27</v>
      </c>
      <c r="D3" s="40" t="s">
        <v>25</v>
      </c>
      <c r="E3" s="40" t="s">
        <v>92</v>
      </c>
      <c r="F3" s="39" t="s">
        <v>91</v>
      </c>
      <c r="G3" s="40" t="s">
        <v>27</v>
      </c>
      <c r="H3" s="40" t="s">
        <v>25</v>
      </c>
      <c r="I3" s="40" t="s">
        <v>92</v>
      </c>
    </row>
    <row r="4" spans="1:10">
      <c r="A4" s="40">
        <v>0</v>
      </c>
      <c r="B4" s="36">
        <v>0</v>
      </c>
      <c r="C4" s="36">
        <v>44.2</v>
      </c>
      <c r="D4" s="36">
        <v>46.1</v>
      </c>
      <c r="E4" s="36">
        <v>53.7</v>
      </c>
      <c r="F4" s="36">
        <v>0</v>
      </c>
      <c r="G4" s="36">
        <v>43.6</v>
      </c>
      <c r="H4" s="36">
        <v>45.4</v>
      </c>
      <c r="I4" s="36">
        <v>52.9</v>
      </c>
      <c r="J4" s="44"/>
    </row>
    <row r="5" spans="1:10">
      <c r="A5" s="40">
        <v>1</v>
      </c>
      <c r="B5" s="36">
        <v>0</v>
      </c>
      <c r="C5" s="36">
        <v>48.9</v>
      </c>
      <c r="D5" s="36">
        <v>50.8</v>
      </c>
      <c r="E5" s="36">
        <v>58.6</v>
      </c>
      <c r="F5" s="36">
        <v>0</v>
      </c>
      <c r="G5" s="36">
        <v>47.8</v>
      </c>
      <c r="H5" s="36">
        <v>49.8</v>
      </c>
      <c r="I5" s="36">
        <v>57.6</v>
      </c>
      <c r="J5" s="44"/>
    </row>
    <row r="6" spans="1:10">
      <c r="A6" s="40">
        <v>2</v>
      </c>
      <c r="B6" s="36">
        <v>0</v>
      </c>
      <c r="C6" s="36">
        <v>52.4</v>
      </c>
      <c r="D6" s="36">
        <v>54.4</v>
      </c>
      <c r="E6" s="36">
        <v>62.4</v>
      </c>
      <c r="F6" s="36">
        <v>0</v>
      </c>
      <c r="G6" s="36">
        <v>51</v>
      </c>
      <c r="H6" s="36">
        <v>53</v>
      </c>
      <c r="I6" s="36">
        <v>61.1</v>
      </c>
      <c r="J6" s="44"/>
    </row>
    <row r="7" spans="1:10">
      <c r="A7" s="40">
        <v>3</v>
      </c>
      <c r="B7" s="36">
        <v>0</v>
      </c>
      <c r="C7" s="36">
        <v>55.3</v>
      </c>
      <c r="D7" s="36">
        <v>57.3</v>
      </c>
      <c r="E7" s="36">
        <v>65.5</v>
      </c>
      <c r="F7" s="36">
        <v>0</v>
      </c>
      <c r="G7" s="36">
        <v>53.5</v>
      </c>
      <c r="H7" s="36">
        <v>55.6</v>
      </c>
      <c r="I7" s="36">
        <v>64</v>
      </c>
      <c r="J7" s="44"/>
    </row>
    <row r="8" spans="1:10">
      <c r="A8" s="40">
        <v>4</v>
      </c>
      <c r="B8" s="36">
        <v>0</v>
      </c>
      <c r="C8" s="36">
        <v>57.6</v>
      </c>
      <c r="D8" s="36">
        <v>59.7</v>
      </c>
      <c r="E8" s="36">
        <v>68</v>
      </c>
      <c r="F8" s="36">
        <v>0</v>
      </c>
      <c r="G8" s="36">
        <v>55.6</v>
      </c>
      <c r="H8" s="36">
        <v>57.8</v>
      </c>
      <c r="I8" s="36">
        <v>66.400000000000006</v>
      </c>
      <c r="J8" s="44"/>
    </row>
    <row r="9" spans="1:10">
      <c r="A9" s="40">
        <v>5</v>
      </c>
      <c r="B9" s="36">
        <v>0</v>
      </c>
      <c r="C9" s="36">
        <v>59.6</v>
      </c>
      <c r="D9" s="36">
        <v>61.7</v>
      </c>
      <c r="E9" s="36">
        <v>70.099999999999994</v>
      </c>
      <c r="F9" s="36">
        <v>0</v>
      </c>
      <c r="G9" s="36">
        <v>57.4</v>
      </c>
      <c r="H9" s="36">
        <v>59.6</v>
      </c>
      <c r="I9" s="36">
        <v>68.5</v>
      </c>
      <c r="J9" s="44"/>
    </row>
    <row r="10" spans="1:10">
      <c r="A10" s="40">
        <v>6</v>
      </c>
      <c r="B10" s="36">
        <v>0</v>
      </c>
      <c r="C10" s="36">
        <v>61.2</v>
      </c>
      <c r="D10" s="36">
        <v>63.3</v>
      </c>
      <c r="E10" s="36">
        <v>71.900000000000006</v>
      </c>
      <c r="F10" s="36">
        <v>0</v>
      </c>
      <c r="G10" s="36">
        <v>58.9</v>
      </c>
      <c r="H10" s="36">
        <v>61.2</v>
      </c>
      <c r="I10" s="36">
        <v>70.3</v>
      </c>
      <c r="J10" s="44"/>
    </row>
    <row r="11" spans="1:10">
      <c r="A11" s="40">
        <v>7</v>
      </c>
      <c r="B11" s="36">
        <v>0</v>
      </c>
      <c r="C11" s="36">
        <v>62.7</v>
      </c>
      <c r="D11" s="36">
        <v>64.8</v>
      </c>
      <c r="E11" s="36">
        <v>73.5</v>
      </c>
      <c r="F11" s="36">
        <v>0</v>
      </c>
      <c r="G11" s="36">
        <v>60.3</v>
      </c>
      <c r="H11" s="36">
        <v>62.7</v>
      </c>
      <c r="I11" s="36">
        <v>71.900000000000006</v>
      </c>
      <c r="J11" s="44"/>
    </row>
    <row r="12" spans="1:10">
      <c r="A12" s="40">
        <v>8</v>
      </c>
      <c r="B12" s="36">
        <v>0</v>
      </c>
      <c r="C12" s="36">
        <v>64</v>
      </c>
      <c r="D12" s="36">
        <v>66.2</v>
      </c>
      <c r="E12" s="36">
        <v>75</v>
      </c>
      <c r="F12" s="36">
        <v>0</v>
      </c>
      <c r="G12" s="36">
        <v>61.7</v>
      </c>
      <c r="H12" s="36">
        <v>64</v>
      </c>
      <c r="I12" s="36">
        <v>73.5</v>
      </c>
      <c r="J12" s="44"/>
    </row>
    <row r="13" spans="1:10">
      <c r="A13" s="40">
        <v>9</v>
      </c>
      <c r="B13" s="36">
        <v>0</v>
      </c>
      <c r="C13" s="36">
        <v>65.2</v>
      </c>
      <c r="D13" s="36">
        <v>67.5</v>
      </c>
      <c r="E13" s="36">
        <v>76.5</v>
      </c>
      <c r="F13" s="36">
        <v>0</v>
      </c>
      <c r="G13" s="36">
        <v>62.9</v>
      </c>
      <c r="H13" s="36">
        <v>65.3</v>
      </c>
      <c r="I13" s="36">
        <v>75</v>
      </c>
      <c r="J13" s="44"/>
    </row>
    <row r="14" spans="1:10">
      <c r="A14" s="40">
        <v>10</v>
      </c>
      <c r="B14" s="36">
        <v>0</v>
      </c>
      <c r="C14" s="36">
        <v>66.400000000000006</v>
      </c>
      <c r="D14" s="36">
        <v>68.7</v>
      </c>
      <c r="E14" s="36">
        <v>77.900000000000006</v>
      </c>
      <c r="F14" s="36">
        <v>0</v>
      </c>
      <c r="G14" s="36">
        <v>64.099999999999994</v>
      </c>
      <c r="H14" s="36">
        <v>66.5</v>
      </c>
      <c r="I14" s="36">
        <v>76.400000000000006</v>
      </c>
      <c r="J14" s="44"/>
    </row>
    <row r="15" spans="1:10">
      <c r="A15" s="40">
        <v>11</v>
      </c>
      <c r="B15" s="36">
        <v>0</v>
      </c>
      <c r="C15" s="36">
        <v>67.599999999999994</v>
      </c>
      <c r="D15" s="36">
        <v>69.900000000000006</v>
      </c>
      <c r="E15" s="36">
        <v>79.2</v>
      </c>
      <c r="F15" s="36">
        <v>0</v>
      </c>
      <c r="G15" s="36">
        <v>65.2</v>
      </c>
      <c r="H15" s="36">
        <v>67.7</v>
      </c>
      <c r="I15" s="36">
        <v>77.8</v>
      </c>
      <c r="J15" s="44"/>
    </row>
    <row r="16" spans="1:10">
      <c r="A16" s="40">
        <v>12</v>
      </c>
      <c r="B16" s="36">
        <v>0</v>
      </c>
      <c r="C16" s="36">
        <v>68.599999999999994</v>
      </c>
      <c r="D16" s="36">
        <v>71</v>
      </c>
      <c r="E16" s="36">
        <v>80.5</v>
      </c>
      <c r="F16" s="36">
        <v>0</v>
      </c>
      <c r="G16" s="36">
        <v>66.3</v>
      </c>
      <c r="H16" s="36">
        <v>68.900000000000006</v>
      </c>
      <c r="I16" s="36">
        <v>79.2</v>
      </c>
      <c r="J16" s="44"/>
    </row>
    <row r="17" spans="1:10">
      <c r="A17" s="40">
        <v>13</v>
      </c>
      <c r="B17" s="36">
        <v>0</v>
      </c>
      <c r="C17" s="36">
        <v>69.599999999999994</v>
      </c>
      <c r="D17" s="36">
        <v>72.099999999999994</v>
      </c>
      <c r="E17" s="36">
        <v>81.8</v>
      </c>
      <c r="F17" s="36">
        <v>0</v>
      </c>
      <c r="G17" s="36">
        <v>67.3</v>
      </c>
      <c r="H17" s="36">
        <v>70</v>
      </c>
      <c r="I17" s="36">
        <v>80.5</v>
      </c>
      <c r="J17" s="44"/>
    </row>
    <row r="18" spans="1:10">
      <c r="A18" s="40">
        <v>14</v>
      </c>
      <c r="B18" s="36">
        <v>0</v>
      </c>
      <c r="C18" s="36">
        <v>70.599999999999994</v>
      </c>
      <c r="D18" s="36">
        <v>73.099999999999994</v>
      </c>
      <c r="E18" s="36">
        <v>83</v>
      </c>
      <c r="F18" s="36">
        <v>0</v>
      </c>
      <c r="G18" s="36">
        <v>68.3</v>
      </c>
      <c r="H18" s="36">
        <v>71</v>
      </c>
      <c r="I18" s="36">
        <v>81.7</v>
      </c>
      <c r="J18" s="44"/>
    </row>
    <row r="19" spans="1:10">
      <c r="A19" s="40">
        <v>15</v>
      </c>
      <c r="B19" s="36">
        <v>0</v>
      </c>
      <c r="C19" s="36">
        <v>71.599999999999994</v>
      </c>
      <c r="D19" s="36">
        <v>74.099999999999994</v>
      </c>
      <c r="E19" s="36">
        <v>84.2</v>
      </c>
      <c r="F19" s="36">
        <v>0</v>
      </c>
      <c r="G19" s="36">
        <v>69.3</v>
      </c>
      <c r="H19" s="36">
        <v>72</v>
      </c>
      <c r="I19" s="36">
        <v>83</v>
      </c>
      <c r="J19" s="44"/>
    </row>
    <row r="20" spans="1:10">
      <c r="A20" s="40">
        <v>16</v>
      </c>
      <c r="B20" s="36">
        <v>0</v>
      </c>
      <c r="C20" s="36">
        <v>72.5</v>
      </c>
      <c r="D20" s="36">
        <v>75</v>
      </c>
      <c r="E20" s="36">
        <v>85.4</v>
      </c>
      <c r="F20" s="36">
        <v>0</v>
      </c>
      <c r="G20" s="36">
        <v>70.2</v>
      </c>
      <c r="H20" s="36">
        <v>73</v>
      </c>
      <c r="I20" s="36">
        <v>84.2</v>
      </c>
      <c r="J20" s="44"/>
    </row>
    <row r="21" spans="1:10">
      <c r="A21" s="40">
        <v>17</v>
      </c>
      <c r="B21" s="36">
        <v>0</v>
      </c>
      <c r="C21" s="36">
        <v>73.3</v>
      </c>
      <c r="D21" s="36">
        <v>76</v>
      </c>
      <c r="E21" s="36">
        <v>86.5</v>
      </c>
      <c r="F21" s="36">
        <v>0</v>
      </c>
      <c r="G21" s="36">
        <v>71.099999999999994</v>
      </c>
      <c r="H21" s="36">
        <v>74</v>
      </c>
      <c r="I21" s="36">
        <v>85.4</v>
      </c>
      <c r="J21" s="44"/>
    </row>
    <row r="22" spans="1:10">
      <c r="A22" s="40">
        <v>18</v>
      </c>
      <c r="B22" s="36">
        <v>0</v>
      </c>
      <c r="C22" s="36">
        <v>74.2</v>
      </c>
      <c r="D22" s="36">
        <v>76.900000000000006</v>
      </c>
      <c r="E22" s="36">
        <v>87.7</v>
      </c>
      <c r="F22" s="36">
        <v>0</v>
      </c>
      <c r="G22" s="36">
        <v>72</v>
      </c>
      <c r="H22" s="36">
        <v>74.900000000000006</v>
      </c>
      <c r="I22" s="36">
        <v>86.5</v>
      </c>
      <c r="J22" s="44"/>
    </row>
    <row r="23" spans="1:10">
      <c r="A23" s="40">
        <v>19</v>
      </c>
      <c r="B23" s="36">
        <v>0</v>
      </c>
      <c r="C23" s="36">
        <v>75</v>
      </c>
      <c r="D23" s="36">
        <v>77.7</v>
      </c>
      <c r="E23" s="36">
        <v>88.8</v>
      </c>
      <c r="F23" s="36">
        <v>0</v>
      </c>
      <c r="G23" s="36">
        <v>72.8</v>
      </c>
      <c r="H23" s="36">
        <v>75.8</v>
      </c>
      <c r="I23" s="36">
        <v>87.6</v>
      </c>
      <c r="J23" s="44"/>
    </row>
    <row r="24" spans="1:10">
      <c r="A24" s="40">
        <v>20</v>
      </c>
      <c r="B24" s="36">
        <v>0</v>
      </c>
      <c r="C24" s="36">
        <v>75.8</v>
      </c>
      <c r="D24" s="36">
        <v>78.599999999999994</v>
      </c>
      <c r="E24" s="36">
        <v>89.8</v>
      </c>
      <c r="F24" s="36">
        <v>0</v>
      </c>
      <c r="G24" s="36">
        <v>73.7</v>
      </c>
      <c r="H24" s="36">
        <v>76.7</v>
      </c>
      <c r="I24" s="36">
        <v>88.7</v>
      </c>
      <c r="J24" s="44"/>
    </row>
    <row r="25" spans="1:10">
      <c r="A25" s="40">
        <v>21</v>
      </c>
      <c r="B25" s="36">
        <v>0</v>
      </c>
      <c r="C25" s="36">
        <v>76.5</v>
      </c>
      <c r="D25" s="36">
        <v>79.400000000000006</v>
      </c>
      <c r="E25" s="36">
        <v>90.9</v>
      </c>
      <c r="F25" s="36">
        <v>0</v>
      </c>
      <c r="G25" s="36">
        <v>74.5</v>
      </c>
      <c r="H25" s="36">
        <v>77.5</v>
      </c>
      <c r="I25" s="36">
        <v>89.8</v>
      </c>
      <c r="J25" s="44"/>
    </row>
    <row r="26" spans="1:10">
      <c r="A26" s="40">
        <v>22</v>
      </c>
      <c r="B26" s="36">
        <v>0</v>
      </c>
      <c r="C26" s="36">
        <v>77.2</v>
      </c>
      <c r="D26" s="36">
        <v>80.2</v>
      </c>
      <c r="E26" s="36">
        <v>91.9</v>
      </c>
      <c r="F26" s="36">
        <v>0</v>
      </c>
      <c r="G26" s="36">
        <v>75.2</v>
      </c>
      <c r="H26" s="36">
        <v>78.400000000000006</v>
      </c>
      <c r="I26" s="36">
        <v>90.8</v>
      </c>
      <c r="J26" s="44"/>
    </row>
    <row r="27" spans="1:10">
      <c r="A27" s="40">
        <v>23</v>
      </c>
      <c r="B27" s="36">
        <v>0</v>
      </c>
      <c r="C27" s="36">
        <v>78</v>
      </c>
      <c r="D27" s="36">
        <v>81</v>
      </c>
      <c r="E27" s="36">
        <v>92.9</v>
      </c>
      <c r="F27" s="36">
        <v>0</v>
      </c>
      <c r="G27" s="36">
        <v>76</v>
      </c>
      <c r="H27" s="36">
        <v>79.2</v>
      </c>
      <c r="I27" s="36">
        <v>91.9</v>
      </c>
      <c r="J27" s="44"/>
    </row>
    <row r="28" spans="1:10">
      <c r="A28" s="40">
        <v>24</v>
      </c>
      <c r="B28" s="36">
        <v>0</v>
      </c>
      <c r="C28" s="36">
        <v>78</v>
      </c>
      <c r="D28" s="36">
        <v>81</v>
      </c>
      <c r="E28" s="36">
        <v>93.2</v>
      </c>
      <c r="F28" s="36">
        <v>0</v>
      </c>
      <c r="G28" s="36">
        <v>76</v>
      </c>
      <c r="H28" s="36">
        <v>79.3</v>
      </c>
      <c r="I28" s="36">
        <v>92.2</v>
      </c>
      <c r="J28" s="44"/>
    </row>
    <row r="29" spans="1:10">
      <c r="A29" s="40">
        <v>25</v>
      </c>
      <c r="B29" s="36">
        <v>0</v>
      </c>
      <c r="C29" s="36">
        <v>78.599999999999994</v>
      </c>
      <c r="D29" s="36">
        <v>81.7</v>
      </c>
      <c r="E29" s="36">
        <v>94.2</v>
      </c>
      <c r="F29" s="36">
        <v>0</v>
      </c>
      <c r="G29" s="36">
        <v>76.8</v>
      </c>
      <c r="H29" s="36">
        <v>80</v>
      </c>
      <c r="I29" s="36">
        <v>93.1</v>
      </c>
      <c r="J29" s="44"/>
    </row>
    <row r="30" spans="1:10">
      <c r="A30" s="40">
        <v>26</v>
      </c>
      <c r="B30" s="36">
        <v>0</v>
      </c>
      <c r="C30" s="36">
        <v>79.3</v>
      </c>
      <c r="D30" s="36">
        <v>82.5</v>
      </c>
      <c r="E30" s="36">
        <v>95.2</v>
      </c>
      <c r="F30" s="36">
        <v>0</v>
      </c>
      <c r="G30" s="36">
        <v>77.5</v>
      </c>
      <c r="H30" s="36">
        <v>80.8</v>
      </c>
      <c r="I30" s="36">
        <v>94.1</v>
      </c>
      <c r="J30" s="44"/>
    </row>
    <row r="31" spans="1:10">
      <c r="A31" s="40">
        <v>27</v>
      </c>
      <c r="B31" s="36">
        <v>0</v>
      </c>
      <c r="C31" s="36">
        <v>79.900000000000006</v>
      </c>
      <c r="D31" s="36">
        <v>83.1</v>
      </c>
      <c r="E31" s="36">
        <v>96.1</v>
      </c>
      <c r="F31" s="36">
        <v>0</v>
      </c>
      <c r="G31" s="36">
        <v>78.099999999999994</v>
      </c>
      <c r="H31" s="36">
        <v>81.5</v>
      </c>
      <c r="I31" s="36">
        <v>95</v>
      </c>
      <c r="J31" s="44"/>
    </row>
    <row r="32" spans="1:10">
      <c r="A32" s="40">
        <v>28</v>
      </c>
      <c r="B32" s="36">
        <v>0</v>
      </c>
      <c r="C32" s="36">
        <v>80.5</v>
      </c>
      <c r="D32" s="36">
        <v>83.8</v>
      </c>
      <c r="E32" s="36">
        <v>97</v>
      </c>
      <c r="F32" s="36">
        <v>0</v>
      </c>
      <c r="G32" s="36">
        <v>78.8</v>
      </c>
      <c r="H32" s="36">
        <v>82.2</v>
      </c>
      <c r="I32" s="36">
        <v>96</v>
      </c>
      <c r="J32" s="44"/>
    </row>
    <row r="33" spans="1:10">
      <c r="A33" s="40">
        <v>29</v>
      </c>
      <c r="B33" s="36">
        <v>0</v>
      </c>
      <c r="C33" s="36">
        <v>81.099999999999994</v>
      </c>
      <c r="D33" s="36">
        <v>84.5</v>
      </c>
      <c r="E33" s="36">
        <v>97.9</v>
      </c>
      <c r="F33" s="36">
        <v>0</v>
      </c>
      <c r="G33" s="36">
        <v>79.5</v>
      </c>
      <c r="H33" s="36">
        <v>82.9</v>
      </c>
      <c r="I33" s="36">
        <v>96.9</v>
      </c>
      <c r="J33" s="44"/>
    </row>
    <row r="34" spans="1:10">
      <c r="A34" s="40">
        <v>30</v>
      </c>
      <c r="B34" s="36">
        <v>0</v>
      </c>
      <c r="C34" s="36">
        <v>81.7</v>
      </c>
      <c r="D34" s="36">
        <v>85.1</v>
      </c>
      <c r="E34" s="36">
        <v>98.7</v>
      </c>
      <c r="F34" s="36">
        <v>0</v>
      </c>
      <c r="G34" s="36">
        <v>80.099999999999994</v>
      </c>
      <c r="H34" s="36">
        <v>83.6</v>
      </c>
      <c r="I34" s="36">
        <v>97.7</v>
      </c>
      <c r="J34" s="44"/>
    </row>
    <row r="35" spans="1:10">
      <c r="A35" s="40">
        <v>31</v>
      </c>
      <c r="B35" s="36">
        <v>0</v>
      </c>
      <c r="C35" s="36">
        <v>82.3</v>
      </c>
      <c r="D35" s="36">
        <v>85.7</v>
      </c>
      <c r="E35" s="36">
        <v>99.6</v>
      </c>
      <c r="F35" s="36">
        <v>0</v>
      </c>
      <c r="G35" s="36">
        <v>80.7</v>
      </c>
      <c r="H35" s="36">
        <v>84.3</v>
      </c>
      <c r="I35" s="36">
        <v>98.6</v>
      </c>
      <c r="J35" s="44"/>
    </row>
    <row r="36" spans="1:10">
      <c r="A36" s="40">
        <v>32</v>
      </c>
      <c r="B36" s="36">
        <v>0</v>
      </c>
      <c r="C36" s="36">
        <v>82.8</v>
      </c>
      <c r="D36" s="36">
        <v>86.4</v>
      </c>
      <c r="E36" s="36">
        <v>100.4</v>
      </c>
      <c r="F36" s="36">
        <v>0</v>
      </c>
      <c r="G36" s="36">
        <v>81.3</v>
      </c>
      <c r="H36" s="36">
        <v>84.9</v>
      </c>
      <c r="I36" s="36">
        <v>99.4</v>
      </c>
      <c r="J36" s="44"/>
    </row>
    <row r="37" spans="1:10">
      <c r="A37" s="40">
        <v>33</v>
      </c>
      <c r="B37" s="36">
        <v>0</v>
      </c>
      <c r="C37" s="36">
        <v>83.4</v>
      </c>
      <c r="D37" s="36">
        <v>86.9</v>
      </c>
      <c r="E37" s="36">
        <v>101.2</v>
      </c>
      <c r="F37" s="36">
        <v>0</v>
      </c>
      <c r="G37" s="36">
        <v>81.900000000000006</v>
      </c>
      <c r="H37" s="36">
        <v>85.6</v>
      </c>
      <c r="I37" s="36">
        <v>100.3</v>
      </c>
      <c r="J37" s="44"/>
    </row>
    <row r="38" spans="1:10">
      <c r="A38" s="40">
        <v>34</v>
      </c>
      <c r="B38" s="36">
        <v>0</v>
      </c>
      <c r="C38" s="36">
        <v>83.9</v>
      </c>
      <c r="D38" s="36">
        <v>87.5</v>
      </c>
      <c r="E38" s="36">
        <v>102</v>
      </c>
      <c r="F38" s="36">
        <v>0</v>
      </c>
      <c r="G38" s="36">
        <v>82.5</v>
      </c>
      <c r="H38" s="36">
        <v>86.2</v>
      </c>
      <c r="I38" s="36">
        <v>101.1</v>
      </c>
      <c r="J38" s="44"/>
    </row>
    <row r="39" spans="1:10">
      <c r="A39" s="40">
        <v>35</v>
      </c>
      <c r="B39" s="36">
        <v>0</v>
      </c>
      <c r="C39" s="36">
        <v>84.4</v>
      </c>
      <c r="D39" s="36">
        <v>88.1</v>
      </c>
      <c r="E39" s="36">
        <v>102.7</v>
      </c>
      <c r="F39" s="36">
        <v>0</v>
      </c>
      <c r="G39" s="36">
        <v>83.1</v>
      </c>
      <c r="H39" s="36">
        <v>86.8</v>
      </c>
      <c r="I39" s="36">
        <v>101.9</v>
      </c>
      <c r="J39" s="44"/>
    </row>
    <row r="40" spans="1:10">
      <c r="A40" s="40">
        <v>36</v>
      </c>
      <c r="B40" s="36">
        <v>0</v>
      </c>
      <c r="C40" s="36">
        <v>85</v>
      </c>
      <c r="D40" s="36">
        <v>88.7</v>
      </c>
      <c r="E40" s="36">
        <v>103.5</v>
      </c>
      <c r="F40" s="36">
        <v>0</v>
      </c>
      <c r="G40" s="36">
        <v>83.6</v>
      </c>
      <c r="H40" s="36">
        <v>87.4</v>
      </c>
      <c r="I40" s="36">
        <v>102.7</v>
      </c>
      <c r="J40" s="44"/>
    </row>
    <row r="41" spans="1:10">
      <c r="A41" s="40">
        <v>37</v>
      </c>
      <c r="B41" s="36">
        <v>0</v>
      </c>
      <c r="C41" s="36">
        <v>85.5</v>
      </c>
      <c r="D41" s="36">
        <v>89.2</v>
      </c>
      <c r="E41" s="36">
        <v>104.2</v>
      </c>
      <c r="F41" s="36">
        <v>0</v>
      </c>
      <c r="G41" s="36">
        <v>84.2</v>
      </c>
      <c r="H41" s="36">
        <v>88</v>
      </c>
      <c r="I41" s="36">
        <v>103.4</v>
      </c>
      <c r="J41" s="44"/>
    </row>
    <row r="42" spans="1:10">
      <c r="A42" s="40">
        <v>38</v>
      </c>
      <c r="B42" s="36">
        <v>0</v>
      </c>
      <c r="C42" s="36">
        <v>86</v>
      </c>
      <c r="D42" s="36">
        <v>89.8</v>
      </c>
      <c r="E42" s="36">
        <v>105</v>
      </c>
      <c r="F42" s="36">
        <v>0</v>
      </c>
      <c r="G42" s="36">
        <v>84.7</v>
      </c>
      <c r="H42" s="36">
        <v>88.6</v>
      </c>
      <c r="I42" s="36">
        <v>104.2</v>
      </c>
      <c r="J42" s="44"/>
    </row>
    <row r="43" spans="1:10">
      <c r="A43" s="40">
        <v>39</v>
      </c>
      <c r="B43" s="36">
        <v>0</v>
      </c>
      <c r="C43" s="36">
        <v>86.5</v>
      </c>
      <c r="D43" s="36">
        <v>90.3</v>
      </c>
      <c r="E43" s="36">
        <v>105.7</v>
      </c>
      <c r="F43" s="36">
        <v>0</v>
      </c>
      <c r="G43" s="36">
        <v>85.3</v>
      </c>
      <c r="H43" s="36">
        <v>89.2</v>
      </c>
      <c r="I43" s="36">
        <v>105</v>
      </c>
      <c r="J43" s="44"/>
    </row>
    <row r="44" spans="1:10">
      <c r="A44" s="40">
        <v>40</v>
      </c>
      <c r="B44" s="36">
        <v>0</v>
      </c>
      <c r="C44" s="36">
        <v>87</v>
      </c>
      <c r="D44" s="36">
        <v>90.9</v>
      </c>
      <c r="E44" s="36">
        <v>106.4</v>
      </c>
      <c r="F44" s="36">
        <v>0</v>
      </c>
      <c r="G44" s="36">
        <v>85.8</v>
      </c>
      <c r="H44" s="36">
        <v>89.8</v>
      </c>
      <c r="I44" s="36">
        <v>105.7</v>
      </c>
      <c r="J44" s="44"/>
    </row>
    <row r="45" spans="1:10">
      <c r="A45" s="40">
        <v>41</v>
      </c>
      <c r="B45" s="36">
        <v>0</v>
      </c>
      <c r="C45" s="36">
        <v>87.5</v>
      </c>
      <c r="D45" s="36">
        <v>91.4</v>
      </c>
      <c r="E45" s="36">
        <v>107.1</v>
      </c>
      <c r="F45" s="36">
        <v>0</v>
      </c>
      <c r="G45" s="36">
        <v>86.3</v>
      </c>
      <c r="H45" s="36">
        <v>90.4</v>
      </c>
      <c r="I45" s="36">
        <v>106.4</v>
      </c>
      <c r="J45" s="44"/>
    </row>
    <row r="46" spans="1:10">
      <c r="A46" s="40">
        <v>42</v>
      </c>
      <c r="B46" s="36">
        <v>0</v>
      </c>
      <c r="C46" s="36">
        <v>88</v>
      </c>
      <c r="D46" s="36">
        <v>91.9</v>
      </c>
      <c r="E46" s="36">
        <v>107.8</v>
      </c>
      <c r="F46" s="36">
        <v>0</v>
      </c>
      <c r="G46" s="36">
        <v>86.8</v>
      </c>
      <c r="H46" s="36">
        <v>90.9</v>
      </c>
      <c r="I46" s="36">
        <v>107.2</v>
      </c>
      <c r="J46" s="44"/>
    </row>
    <row r="47" spans="1:10">
      <c r="A47" s="40">
        <v>43</v>
      </c>
      <c r="B47" s="36">
        <v>0</v>
      </c>
      <c r="C47" s="36">
        <v>88.4</v>
      </c>
      <c r="D47" s="36">
        <v>92.4</v>
      </c>
      <c r="E47" s="36">
        <v>108.5</v>
      </c>
      <c r="F47" s="36">
        <v>0</v>
      </c>
      <c r="G47" s="36">
        <v>87.4</v>
      </c>
      <c r="H47" s="36">
        <v>91.5</v>
      </c>
      <c r="I47" s="36">
        <v>107.9</v>
      </c>
      <c r="J47" s="44"/>
    </row>
    <row r="48" spans="1:10">
      <c r="A48" s="40">
        <v>44</v>
      </c>
      <c r="B48" s="36">
        <v>0</v>
      </c>
      <c r="C48" s="36">
        <v>88.9</v>
      </c>
      <c r="D48" s="36">
        <v>93</v>
      </c>
      <c r="E48" s="36">
        <v>109.1</v>
      </c>
      <c r="F48" s="36">
        <v>0</v>
      </c>
      <c r="G48" s="36">
        <v>87.9</v>
      </c>
      <c r="H48" s="36">
        <v>92</v>
      </c>
      <c r="I48" s="36">
        <v>108.6</v>
      </c>
      <c r="J48" s="44"/>
    </row>
    <row r="49" spans="1:12">
      <c r="A49" s="40">
        <v>45</v>
      </c>
      <c r="B49" s="36">
        <v>0</v>
      </c>
      <c r="C49" s="36">
        <v>89.4</v>
      </c>
      <c r="D49" s="36">
        <v>93.5</v>
      </c>
      <c r="E49" s="36">
        <v>109.8</v>
      </c>
      <c r="F49" s="36">
        <v>0</v>
      </c>
      <c r="G49" s="36">
        <v>88.4</v>
      </c>
      <c r="H49" s="36">
        <v>92.5</v>
      </c>
      <c r="I49" s="36">
        <v>109.3</v>
      </c>
      <c r="J49" s="44"/>
    </row>
    <row r="50" spans="1:12">
      <c r="A50" s="40">
        <v>46</v>
      </c>
      <c r="B50" s="36">
        <v>0</v>
      </c>
      <c r="C50" s="36">
        <v>89.8</v>
      </c>
      <c r="D50" s="36">
        <v>94</v>
      </c>
      <c r="E50" s="36">
        <v>110.4</v>
      </c>
      <c r="F50" s="36">
        <v>0</v>
      </c>
      <c r="G50" s="36">
        <v>88.9</v>
      </c>
      <c r="H50" s="36">
        <v>93.1</v>
      </c>
      <c r="I50" s="36">
        <v>110</v>
      </c>
      <c r="J50" s="44"/>
    </row>
    <row r="51" spans="1:12">
      <c r="A51" s="40">
        <v>47</v>
      </c>
      <c r="B51" s="36">
        <v>0</v>
      </c>
      <c r="C51" s="36">
        <v>90.3</v>
      </c>
      <c r="D51" s="36">
        <v>94.4</v>
      </c>
      <c r="E51" s="36">
        <v>111.1</v>
      </c>
      <c r="F51" s="36">
        <v>0</v>
      </c>
      <c r="G51" s="36">
        <v>89.3</v>
      </c>
      <c r="H51" s="36">
        <v>93.6</v>
      </c>
      <c r="I51" s="36">
        <v>110.7</v>
      </c>
      <c r="J51" s="44"/>
    </row>
    <row r="52" spans="1:12">
      <c r="A52" s="40">
        <v>48</v>
      </c>
      <c r="B52" s="36">
        <v>0</v>
      </c>
      <c r="C52" s="36">
        <v>90.7</v>
      </c>
      <c r="D52" s="36">
        <v>94.9</v>
      </c>
      <c r="E52" s="36">
        <v>111.7</v>
      </c>
      <c r="F52" s="36">
        <v>0</v>
      </c>
      <c r="G52" s="36">
        <v>89.8</v>
      </c>
      <c r="H52" s="36">
        <v>94.1</v>
      </c>
      <c r="I52" s="36">
        <v>111.3</v>
      </c>
      <c r="J52" s="44"/>
    </row>
    <row r="53" spans="1:12">
      <c r="A53" s="40">
        <v>49</v>
      </c>
      <c r="B53" s="36">
        <v>0</v>
      </c>
      <c r="C53" s="36">
        <v>91.2</v>
      </c>
      <c r="D53" s="36">
        <v>95.4</v>
      </c>
      <c r="E53" s="36">
        <v>112.4</v>
      </c>
      <c r="F53" s="36">
        <v>0</v>
      </c>
      <c r="G53" s="36">
        <v>90.3</v>
      </c>
      <c r="H53" s="36">
        <v>94.6</v>
      </c>
      <c r="I53" s="36">
        <v>112</v>
      </c>
      <c r="J53" s="44"/>
    </row>
    <row r="54" spans="1:12">
      <c r="A54" s="40">
        <v>50</v>
      </c>
      <c r="B54" s="36">
        <v>0</v>
      </c>
      <c r="C54" s="36">
        <v>91.6</v>
      </c>
      <c r="D54" s="36">
        <v>95.9</v>
      </c>
      <c r="E54" s="36">
        <v>113</v>
      </c>
      <c r="F54" s="36">
        <v>0</v>
      </c>
      <c r="G54" s="36">
        <v>90.7</v>
      </c>
      <c r="H54" s="36">
        <v>95.1</v>
      </c>
      <c r="I54" s="36">
        <v>112.7</v>
      </c>
      <c r="J54" s="44"/>
    </row>
    <row r="55" spans="1:12">
      <c r="A55" s="40">
        <v>51</v>
      </c>
      <c r="B55" s="36">
        <v>0</v>
      </c>
      <c r="C55" s="36">
        <v>92.1</v>
      </c>
      <c r="D55" s="36">
        <v>96.4</v>
      </c>
      <c r="E55" s="36">
        <v>113.6</v>
      </c>
      <c r="F55" s="36">
        <v>0</v>
      </c>
      <c r="G55" s="36">
        <v>91.2</v>
      </c>
      <c r="H55" s="36">
        <v>95.6</v>
      </c>
      <c r="I55" s="36">
        <v>113.3</v>
      </c>
      <c r="J55" s="44"/>
    </row>
    <row r="56" spans="1:12">
      <c r="A56" s="40">
        <v>52</v>
      </c>
      <c r="B56" s="36">
        <v>0</v>
      </c>
      <c r="C56" s="36">
        <v>92.5</v>
      </c>
      <c r="D56" s="36">
        <v>96.9</v>
      </c>
      <c r="E56" s="36">
        <v>114.2</v>
      </c>
      <c r="F56" s="36">
        <v>0</v>
      </c>
      <c r="G56" s="36">
        <v>91.7</v>
      </c>
      <c r="H56" s="36">
        <v>96.1</v>
      </c>
      <c r="I56" s="36">
        <v>114</v>
      </c>
      <c r="J56" s="44"/>
      <c r="L56" s="45"/>
    </row>
    <row r="57" spans="1:12">
      <c r="A57" s="40">
        <v>53</v>
      </c>
      <c r="B57" s="36">
        <v>0</v>
      </c>
      <c r="C57" s="36">
        <v>93</v>
      </c>
      <c r="D57" s="36">
        <v>97.4</v>
      </c>
      <c r="E57" s="36">
        <v>114.9</v>
      </c>
      <c r="F57" s="36">
        <v>0</v>
      </c>
      <c r="G57" s="36">
        <v>92.1</v>
      </c>
      <c r="H57" s="36">
        <v>96.6</v>
      </c>
      <c r="I57" s="36">
        <v>114.6</v>
      </c>
      <c r="J57" s="44"/>
      <c r="L57" s="45"/>
    </row>
    <row r="58" spans="1:12">
      <c r="A58" s="40">
        <v>54</v>
      </c>
      <c r="B58" s="36">
        <v>0</v>
      </c>
      <c r="C58" s="36">
        <v>93.4</v>
      </c>
      <c r="D58" s="36">
        <v>97.8</v>
      </c>
      <c r="E58" s="36">
        <v>115.5</v>
      </c>
      <c r="F58" s="36">
        <v>0</v>
      </c>
      <c r="G58" s="36">
        <v>92.6</v>
      </c>
      <c r="H58" s="36">
        <v>97.1</v>
      </c>
      <c r="I58" s="36">
        <v>115.2</v>
      </c>
      <c r="J58" s="44"/>
      <c r="L58" s="45"/>
    </row>
    <row r="59" spans="1:12">
      <c r="A59" s="40">
        <v>55</v>
      </c>
      <c r="B59" s="36">
        <v>0</v>
      </c>
      <c r="C59" s="36">
        <v>93.9</v>
      </c>
      <c r="D59" s="36">
        <v>98.3</v>
      </c>
      <c r="E59" s="36">
        <v>116.1</v>
      </c>
      <c r="F59" s="36">
        <v>0</v>
      </c>
      <c r="G59" s="36">
        <v>93</v>
      </c>
      <c r="H59" s="36">
        <v>97.6</v>
      </c>
      <c r="I59" s="36">
        <v>115.9</v>
      </c>
      <c r="J59" s="44"/>
    </row>
    <row r="60" spans="1:12">
      <c r="A60" s="40">
        <v>56</v>
      </c>
      <c r="B60" s="36">
        <v>0</v>
      </c>
      <c r="C60" s="36">
        <v>94.3</v>
      </c>
      <c r="D60" s="36">
        <v>98.8</v>
      </c>
      <c r="E60" s="36">
        <v>116.7</v>
      </c>
      <c r="F60" s="36">
        <v>0</v>
      </c>
      <c r="G60" s="36">
        <v>93.4</v>
      </c>
      <c r="H60" s="36">
        <v>98.1</v>
      </c>
      <c r="I60" s="36">
        <v>116.5</v>
      </c>
      <c r="J60" s="44"/>
    </row>
    <row r="61" spans="1:12">
      <c r="A61" s="40">
        <v>57</v>
      </c>
      <c r="B61" s="36">
        <v>0</v>
      </c>
      <c r="C61" s="36">
        <v>94.7</v>
      </c>
      <c r="D61" s="36">
        <v>99.3</v>
      </c>
      <c r="E61" s="36">
        <v>117.4</v>
      </c>
      <c r="F61" s="36">
        <v>0</v>
      </c>
      <c r="G61" s="36">
        <v>93.9</v>
      </c>
      <c r="H61" s="36">
        <v>98.5</v>
      </c>
      <c r="I61" s="36">
        <v>117.1</v>
      </c>
      <c r="J61" s="44"/>
    </row>
    <row r="62" spans="1:12">
      <c r="A62" s="40">
        <v>58</v>
      </c>
      <c r="B62" s="36">
        <v>0</v>
      </c>
      <c r="C62" s="36">
        <v>95.2</v>
      </c>
      <c r="D62" s="36">
        <v>99.7</v>
      </c>
      <c r="E62" s="36">
        <v>118</v>
      </c>
      <c r="F62" s="36">
        <v>0</v>
      </c>
      <c r="G62" s="36">
        <v>94.3</v>
      </c>
      <c r="H62" s="36">
        <v>99</v>
      </c>
      <c r="I62" s="36">
        <v>117.7</v>
      </c>
      <c r="J62" s="44"/>
    </row>
    <row r="63" spans="1:12">
      <c r="A63" s="40">
        <v>59</v>
      </c>
      <c r="B63" s="36">
        <v>0</v>
      </c>
      <c r="C63" s="36">
        <v>95.6</v>
      </c>
      <c r="D63" s="36">
        <v>100.2</v>
      </c>
      <c r="E63" s="36">
        <v>118.6</v>
      </c>
      <c r="F63" s="36">
        <v>0</v>
      </c>
      <c r="G63" s="36">
        <v>94.7</v>
      </c>
      <c r="H63" s="36">
        <v>99.5</v>
      </c>
      <c r="I63" s="36">
        <v>118.3</v>
      </c>
      <c r="J63" s="44"/>
    </row>
    <row r="64" spans="1:12">
      <c r="A64" s="40">
        <v>60</v>
      </c>
      <c r="B64" s="36">
        <v>0</v>
      </c>
      <c r="C64" s="36">
        <v>96.1</v>
      </c>
      <c r="D64" s="36">
        <v>100.7</v>
      </c>
      <c r="E64" s="36">
        <v>119.2</v>
      </c>
      <c r="F64" s="36">
        <v>0</v>
      </c>
      <c r="G64" s="36">
        <v>95.2</v>
      </c>
      <c r="H64" s="36">
        <v>99.9</v>
      </c>
      <c r="I64" s="36">
        <v>118.9</v>
      </c>
      <c r="J64" s="44"/>
    </row>
    <row r="67" spans="1:10" ht="20.399999999999999">
      <c r="A67" s="133" t="s">
        <v>90</v>
      </c>
      <c r="B67" s="133"/>
      <c r="C67" s="133"/>
      <c r="D67" s="133"/>
      <c r="E67" s="133"/>
      <c r="F67" s="133"/>
      <c r="G67" s="133"/>
      <c r="H67" s="133"/>
      <c r="I67" s="133"/>
    </row>
    <row r="68" spans="1:10">
      <c r="A68" s="43"/>
      <c r="B68" s="134" t="s">
        <v>10</v>
      </c>
      <c r="C68" s="134"/>
      <c r="D68" s="134"/>
      <c r="E68" s="134"/>
      <c r="F68" s="134" t="s">
        <v>11</v>
      </c>
      <c r="G68" s="134"/>
      <c r="H68" s="134"/>
      <c r="I68" s="134"/>
    </row>
    <row r="69" spans="1:10" ht="31.2">
      <c r="A69" s="40"/>
      <c r="B69" s="39" t="s">
        <v>91</v>
      </c>
      <c r="C69" s="40" t="s">
        <v>27</v>
      </c>
      <c r="D69" s="40" t="s">
        <v>25</v>
      </c>
      <c r="E69" s="40" t="s">
        <v>92</v>
      </c>
      <c r="F69" s="39" t="s">
        <v>91</v>
      </c>
      <c r="G69" s="40" t="s">
        <v>27</v>
      </c>
      <c r="H69" s="40" t="s">
        <v>25</v>
      </c>
      <c r="I69" s="40" t="s">
        <v>92</v>
      </c>
    </row>
    <row r="70" spans="1:10">
      <c r="A70" s="40">
        <v>61</v>
      </c>
      <c r="B70" s="36">
        <v>0</v>
      </c>
      <c r="C70" s="36">
        <v>96.5</v>
      </c>
      <c r="D70" s="36">
        <v>101.1</v>
      </c>
      <c r="E70" s="36">
        <v>119.4</v>
      </c>
      <c r="F70" s="36">
        <v>0</v>
      </c>
      <c r="G70" s="36">
        <v>95.3</v>
      </c>
      <c r="H70" s="36">
        <v>100.1</v>
      </c>
      <c r="I70" s="36">
        <v>119.1</v>
      </c>
      <c r="J70" s="44"/>
    </row>
    <row r="71" spans="1:10">
      <c r="A71" s="40">
        <v>62</v>
      </c>
      <c r="B71" s="36">
        <v>0</v>
      </c>
      <c r="C71" s="36">
        <v>96.9</v>
      </c>
      <c r="D71" s="36">
        <v>101.6</v>
      </c>
      <c r="E71" s="36">
        <v>120</v>
      </c>
      <c r="F71" s="36">
        <v>0</v>
      </c>
      <c r="G71" s="36">
        <v>95.7</v>
      </c>
      <c r="H71" s="36">
        <v>100.5</v>
      </c>
      <c r="I71" s="36">
        <v>119.7</v>
      </c>
      <c r="J71" s="44"/>
    </row>
    <row r="72" spans="1:10">
      <c r="A72" s="40">
        <v>63</v>
      </c>
      <c r="B72" s="36">
        <v>0</v>
      </c>
      <c r="C72" s="36">
        <v>97.4</v>
      </c>
      <c r="D72" s="36">
        <v>102</v>
      </c>
      <c r="E72" s="36">
        <v>120.6</v>
      </c>
      <c r="F72" s="36">
        <v>0</v>
      </c>
      <c r="G72" s="36">
        <v>96.1</v>
      </c>
      <c r="H72" s="36">
        <v>101</v>
      </c>
      <c r="I72" s="36">
        <v>120.3</v>
      </c>
      <c r="J72" s="44"/>
    </row>
    <row r="73" spans="1:10">
      <c r="A73" s="40">
        <v>64</v>
      </c>
      <c r="B73" s="36">
        <v>0</v>
      </c>
      <c r="C73" s="36">
        <v>97.8</v>
      </c>
      <c r="D73" s="36">
        <v>102.5</v>
      </c>
      <c r="E73" s="36">
        <v>121.2</v>
      </c>
      <c r="F73" s="36">
        <v>0</v>
      </c>
      <c r="G73" s="36">
        <v>96.5</v>
      </c>
      <c r="H73" s="36">
        <v>101.4</v>
      </c>
      <c r="I73" s="36">
        <v>120.9</v>
      </c>
      <c r="J73" s="44"/>
    </row>
    <row r="74" spans="1:10">
      <c r="A74" s="40">
        <v>65</v>
      </c>
      <c r="B74" s="36">
        <v>0</v>
      </c>
      <c r="C74" s="36">
        <v>98.2</v>
      </c>
      <c r="D74" s="36">
        <v>103</v>
      </c>
      <c r="E74" s="36">
        <v>121.8</v>
      </c>
      <c r="F74" s="36">
        <v>0</v>
      </c>
      <c r="G74" s="36">
        <v>97</v>
      </c>
      <c r="H74" s="36">
        <v>101.9</v>
      </c>
      <c r="I74" s="36">
        <v>121.5</v>
      </c>
      <c r="J74" s="44"/>
    </row>
    <row r="75" spans="1:10">
      <c r="A75" s="40">
        <v>66</v>
      </c>
      <c r="B75" s="36">
        <v>0</v>
      </c>
      <c r="C75" s="36">
        <v>98.7</v>
      </c>
      <c r="D75" s="36">
        <v>103.4</v>
      </c>
      <c r="E75" s="36">
        <v>122.4</v>
      </c>
      <c r="F75" s="36">
        <v>0</v>
      </c>
      <c r="G75" s="36">
        <v>97.4</v>
      </c>
      <c r="H75" s="36">
        <v>102.3</v>
      </c>
      <c r="I75" s="36">
        <v>122</v>
      </c>
      <c r="J75" s="44"/>
    </row>
    <row r="76" spans="1:10">
      <c r="A76" s="40">
        <v>67</v>
      </c>
      <c r="B76" s="36">
        <v>0</v>
      </c>
      <c r="C76" s="36">
        <v>99.1</v>
      </c>
      <c r="D76" s="36">
        <v>103.9</v>
      </c>
      <c r="E76" s="36">
        <v>123</v>
      </c>
      <c r="F76" s="36">
        <v>0</v>
      </c>
      <c r="G76" s="36">
        <v>97.8</v>
      </c>
      <c r="H76" s="36">
        <v>102.7</v>
      </c>
      <c r="I76" s="36">
        <v>122.6</v>
      </c>
      <c r="J76" s="44"/>
    </row>
    <row r="77" spans="1:10">
      <c r="A77" s="40">
        <v>68</v>
      </c>
      <c r="B77" s="36">
        <v>0</v>
      </c>
      <c r="C77" s="36">
        <v>99.5</v>
      </c>
      <c r="D77" s="36">
        <v>104.3</v>
      </c>
      <c r="E77" s="36">
        <v>123.6</v>
      </c>
      <c r="F77" s="36">
        <v>0</v>
      </c>
      <c r="G77" s="36">
        <v>98.2</v>
      </c>
      <c r="H77" s="36">
        <v>103.2</v>
      </c>
      <c r="I77" s="36">
        <v>123.2</v>
      </c>
      <c r="J77" s="44"/>
    </row>
    <row r="78" spans="1:10">
      <c r="A78" s="40">
        <v>69</v>
      </c>
      <c r="B78" s="36">
        <v>0</v>
      </c>
      <c r="C78" s="36">
        <v>99.9</v>
      </c>
      <c r="D78" s="36">
        <v>104.8</v>
      </c>
      <c r="E78" s="36">
        <v>124.1</v>
      </c>
      <c r="F78" s="36">
        <v>0</v>
      </c>
      <c r="G78" s="36">
        <v>98.6</v>
      </c>
      <c r="H78" s="36">
        <v>103.6</v>
      </c>
      <c r="I78" s="36">
        <v>123.7</v>
      </c>
      <c r="J78" s="44"/>
    </row>
    <row r="79" spans="1:10">
      <c r="A79" s="40">
        <v>70</v>
      </c>
      <c r="B79" s="36">
        <v>0</v>
      </c>
      <c r="C79" s="36">
        <v>100.4</v>
      </c>
      <c r="D79" s="36">
        <v>105.2</v>
      </c>
      <c r="E79" s="36">
        <v>124.7</v>
      </c>
      <c r="F79" s="36">
        <v>0</v>
      </c>
      <c r="G79" s="36">
        <v>99</v>
      </c>
      <c r="H79" s="36">
        <v>104</v>
      </c>
      <c r="I79" s="36">
        <v>124.3</v>
      </c>
      <c r="J79" s="44"/>
    </row>
    <row r="80" spans="1:10">
      <c r="A80" s="40">
        <v>71</v>
      </c>
      <c r="B80" s="36">
        <v>0</v>
      </c>
      <c r="C80" s="36">
        <v>100.8</v>
      </c>
      <c r="D80" s="36">
        <v>105.7</v>
      </c>
      <c r="E80" s="36">
        <v>125.2</v>
      </c>
      <c r="F80" s="36">
        <v>0</v>
      </c>
      <c r="G80" s="36">
        <v>99.4</v>
      </c>
      <c r="H80" s="36">
        <v>104.5</v>
      </c>
      <c r="I80" s="36">
        <v>124.8</v>
      </c>
      <c r="J80" s="44"/>
    </row>
    <row r="81" spans="1:10">
      <c r="A81" s="40">
        <v>72</v>
      </c>
      <c r="B81" s="36">
        <v>0</v>
      </c>
      <c r="C81" s="36">
        <v>101.2</v>
      </c>
      <c r="D81" s="36">
        <v>106.1</v>
      </c>
      <c r="E81" s="36">
        <v>125.8</v>
      </c>
      <c r="F81" s="36">
        <v>0</v>
      </c>
      <c r="G81" s="36">
        <v>99.8</v>
      </c>
      <c r="H81" s="36">
        <v>104.9</v>
      </c>
      <c r="I81" s="36">
        <v>125.4</v>
      </c>
      <c r="J81" s="44"/>
    </row>
    <row r="82" spans="1:10">
      <c r="A82" s="40">
        <v>73</v>
      </c>
      <c r="B82" s="36">
        <v>0</v>
      </c>
      <c r="C82" s="36">
        <v>101.6</v>
      </c>
      <c r="D82" s="36">
        <v>106.5</v>
      </c>
      <c r="E82" s="36">
        <v>126.4</v>
      </c>
      <c r="F82" s="36">
        <v>0</v>
      </c>
      <c r="G82" s="36">
        <v>100.2</v>
      </c>
      <c r="H82" s="36">
        <v>105.3</v>
      </c>
      <c r="I82" s="36">
        <v>125.9</v>
      </c>
      <c r="J82" s="44"/>
    </row>
    <row r="83" spans="1:10">
      <c r="A83" s="40">
        <v>74</v>
      </c>
      <c r="B83" s="36">
        <v>0</v>
      </c>
      <c r="C83" s="36">
        <v>102</v>
      </c>
      <c r="D83" s="36">
        <v>107</v>
      </c>
      <c r="E83" s="36">
        <v>126.9</v>
      </c>
      <c r="F83" s="36">
        <v>0</v>
      </c>
      <c r="G83" s="36">
        <v>100.5</v>
      </c>
      <c r="H83" s="36">
        <v>105.7</v>
      </c>
      <c r="I83" s="36">
        <v>126.4</v>
      </c>
      <c r="J83" s="44"/>
    </row>
    <row r="84" spans="1:10">
      <c r="A84" s="40">
        <v>75</v>
      </c>
      <c r="B84" s="36">
        <v>0</v>
      </c>
      <c r="C84" s="36">
        <v>102.4</v>
      </c>
      <c r="D84" s="36">
        <v>107.4</v>
      </c>
      <c r="E84" s="36">
        <v>127.5</v>
      </c>
      <c r="F84" s="36">
        <v>0</v>
      </c>
      <c r="G84" s="36">
        <v>100.9</v>
      </c>
      <c r="H84" s="36">
        <v>106.1</v>
      </c>
      <c r="I84" s="36">
        <v>127</v>
      </c>
      <c r="J84" s="44"/>
    </row>
    <row r="85" spans="1:10">
      <c r="A85" s="40">
        <v>76</v>
      </c>
      <c r="B85" s="36">
        <v>0</v>
      </c>
      <c r="C85" s="36">
        <v>102.8</v>
      </c>
      <c r="D85" s="36">
        <v>107.8</v>
      </c>
      <c r="E85" s="36">
        <v>128</v>
      </c>
      <c r="F85" s="36">
        <v>0</v>
      </c>
      <c r="G85" s="36">
        <v>101.3</v>
      </c>
      <c r="H85" s="36">
        <v>106.6</v>
      </c>
      <c r="I85" s="36">
        <v>127.5</v>
      </c>
      <c r="J85" s="44"/>
    </row>
    <row r="86" spans="1:10">
      <c r="A86" s="40">
        <v>77</v>
      </c>
      <c r="B86" s="36">
        <v>0</v>
      </c>
      <c r="C86" s="36">
        <v>103.2</v>
      </c>
      <c r="D86" s="36">
        <v>108.2</v>
      </c>
      <c r="E86" s="36">
        <v>128.5</v>
      </c>
      <c r="F86" s="36">
        <v>0</v>
      </c>
      <c r="G86" s="36">
        <v>101.7</v>
      </c>
      <c r="H86" s="36">
        <v>107</v>
      </c>
      <c r="I86" s="36">
        <v>128</v>
      </c>
      <c r="J86" s="44"/>
    </row>
    <row r="87" spans="1:10">
      <c r="A87" s="40">
        <v>78</v>
      </c>
      <c r="B87" s="36">
        <v>0</v>
      </c>
      <c r="C87" s="36">
        <v>103.6</v>
      </c>
      <c r="D87" s="36">
        <v>108.7</v>
      </c>
      <c r="E87" s="36">
        <v>129.1</v>
      </c>
      <c r="F87" s="36">
        <v>0</v>
      </c>
      <c r="G87" s="36">
        <v>102.1</v>
      </c>
      <c r="H87" s="36">
        <v>107.4</v>
      </c>
      <c r="I87" s="36">
        <v>128.6</v>
      </c>
      <c r="J87" s="44"/>
    </row>
    <row r="88" spans="1:10">
      <c r="A88" s="40">
        <v>79</v>
      </c>
      <c r="B88" s="36">
        <v>0</v>
      </c>
      <c r="C88" s="36">
        <v>103.9</v>
      </c>
      <c r="D88" s="36">
        <v>109.1</v>
      </c>
      <c r="E88" s="36">
        <v>129.6</v>
      </c>
      <c r="F88" s="36">
        <v>0</v>
      </c>
      <c r="G88" s="36">
        <v>102.5</v>
      </c>
      <c r="H88" s="36">
        <v>107.8</v>
      </c>
      <c r="I88" s="36">
        <v>129.1</v>
      </c>
      <c r="J88" s="44"/>
    </row>
    <row r="89" spans="1:10">
      <c r="A89" s="40">
        <v>80</v>
      </c>
      <c r="B89" s="36">
        <v>0</v>
      </c>
      <c r="C89" s="36">
        <v>104.3</v>
      </c>
      <c r="D89" s="36">
        <v>109.5</v>
      </c>
      <c r="E89" s="36">
        <v>130.19999999999999</v>
      </c>
      <c r="F89" s="36">
        <v>0</v>
      </c>
      <c r="G89" s="36">
        <v>102.9</v>
      </c>
      <c r="H89" s="36">
        <v>108.2</v>
      </c>
      <c r="I89" s="36">
        <v>129.6</v>
      </c>
      <c r="J89" s="44"/>
    </row>
    <row r="90" spans="1:10">
      <c r="A90" s="40">
        <v>81</v>
      </c>
      <c r="B90" s="36">
        <v>0</v>
      </c>
      <c r="C90" s="36">
        <v>104.7</v>
      </c>
      <c r="D90" s="36">
        <v>109.9</v>
      </c>
      <c r="E90" s="36">
        <v>130.69999999999999</v>
      </c>
      <c r="F90" s="36">
        <v>0</v>
      </c>
      <c r="G90" s="36">
        <v>103.2</v>
      </c>
      <c r="H90" s="36">
        <v>108.6</v>
      </c>
      <c r="I90" s="36">
        <v>130.19999999999999</v>
      </c>
      <c r="J90" s="44"/>
    </row>
    <row r="91" spans="1:10">
      <c r="A91" s="40">
        <v>82</v>
      </c>
      <c r="B91" s="36">
        <v>0</v>
      </c>
      <c r="C91" s="36">
        <v>105.1</v>
      </c>
      <c r="D91" s="36">
        <v>110.3</v>
      </c>
      <c r="E91" s="36">
        <v>131.19999999999999</v>
      </c>
      <c r="F91" s="36">
        <v>0</v>
      </c>
      <c r="G91" s="36">
        <v>103.6</v>
      </c>
      <c r="H91" s="36">
        <v>109</v>
      </c>
      <c r="I91" s="36">
        <v>130.69999999999999</v>
      </c>
      <c r="J91" s="44"/>
    </row>
    <row r="92" spans="1:10">
      <c r="A92" s="40">
        <v>83</v>
      </c>
      <c r="B92" s="36">
        <v>0</v>
      </c>
      <c r="C92" s="36">
        <v>105.5</v>
      </c>
      <c r="D92" s="36">
        <v>110.8</v>
      </c>
      <c r="E92" s="36">
        <v>131.80000000000001</v>
      </c>
      <c r="F92" s="36">
        <v>0</v>
      </c>
      <c r="G92" s="36">
        <v>104</v>
      </c>
      <c r="H92" s="36">
        <v>109.5</v>
      </c>
      <c r="I92" s="36">
        <v>131.19999999999999</v>
      </c>
      <c r="J92" s="44"/>
    </row>
    <row r="93" spans="1:10">
      <c r="A93" s="40">
        <v>84</v>
      </c>
      <c r="B93" s="36">
        <v>0</v>
      </c>
      <c r="C93" s="36">
        <v>105.9</v>
      </c>
      <c r="D93" s="36">
        <v>111.2</v>
      </c>
      <c r="E93" s="36">
        <v>132.30000000000001</v>
      </c>
      <c r="F93" s="36">
        <v>0</v>
      </c>
      <c r="G93" s="36">
        <v>104.4</v>
      </c>
      <c r="H93" s="36">
        <v>109.9</v>
      </c>
      <c r="I93" s="36">
        <v>131.69999999999999</v>
      </c>
      <c r="J93" s="44"/>
    </row>
  </sheetData>
  <mergeCells count="6">
    <mergeCell ref="A67:I67"/>
    <mergeCell ref="B68:E68"/>
    <mergeCell ref="F68:I68"/>
    <mergeCell ref="A1:I1"/>
    <mergeCell ref="B2:E2"/>
    <mergeCell ref="F2:I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4"/>
  <dimension ref="A1:N271"/>
  <sheetViews>
    <sheetView topLeftCell="A129" workbookViewId="0">
      <selection activeCell="T34" sqref="T34"/>
    </sheetView>
  </sheetViews>
  <sheetFormatPr defaultColWidth="9.109375" defaultRowHeight="18"/>
  <cols>
    <col min="1" max="1" width="9.109375" style="42"/>
    <col min="2" max="2" width="17.44140625" style="42" customWidth="1"/>
    <col min="3" max="3" width="12.109375" style="42" customWidth="1"/>
    <col min="4" max="4" width="11.5546875" style="42" customWidth="1"/>
    <col min="5" max="5" width="12.109375" style="42" customWidth="1"/>
    <col min="6" max="6" width="12" style="42" customWidth="1"/>
    <col min="7" max="7" width="19.44140625" style="42" customWidth="1"/>
    <col min="8" max="8" width="13.88671875" style="42" customWidth="1"/>
    <col min="9" max="9" width="11.44140625" style="42" customWidth="1"/>
    <col min="10" max="10" width="12.44140625" style="42" customWidth="1"/>
    <col min="11" max="11" width="11.5546875" style="42" customWidth="1"/>
    <col min="12" max="12" width="9.5546875" style="42" customWidth="1"/>
    <col min="13" max="257" width="9.109375" style="42"/>
    <col min="258" max="258" width="17.44140625" style="42" customWidth="1"/>
    <col min="259" max="259" width="12.109375" style="42" customWidth="1"/>
    <col min="260" max="260" width="11.5546875" style="42" customWidth="1"/>
    <col min="261" max="261" width="12.109375" style="42" customWidth="1"/>
    <col min="262" max="262" width="12" style="42" customWidth="1"/>
    <col min="263" max="263" width="19.44140625" style="42" customWidth="1"/>
    <col min="264" max="264" width="13.88671875" style="42" customWidth="1"/>
    <col min="265" max="265" width="11.44140625" style="42" customWidth="1"/>
    <col min="266" max="266" width="12.44140625" style="42" customWidth="1"/>
    <col min="267" max="267" width="11.5546875" style="42" customWidth="1"/>
    <col min="268" max="268" width="9.5546875" style="42" customWidth="1"/>
    <col min="269" max="513" width="9.109375" style="42"/>
    <col min="514" max="514" width="17.44140625" style="42" customWidth="1"/>
    <col min="515" max="515" width="12.109375" style="42" customWidth="1"/>
    <col min="516" max="516" width="11.5546875" style="42" customWidth="1"/>
    <col min="517" max="517" width="12.109375" style="42" customWidth="1"/>
    <col min="518" max="518" width="12" style="42" customWidth="1"/>
    <col min="519" max="519" width="19.44140625" style="42" customWidth="1"/>
    <col min="520" max="520" width="13.88671875" style="42" customWidth="1"/>
    <col min="521" max="521" width="11.44140625" style="42" customWidth="1"/>
    <col min="522" max="522" width="12.44140625" style="42" customWidth="1"/>
    <col min="523" max="523" width="11.5546875" style="42" customWidth="1"/>
    <col min="524" max="524" width="9.5546875" style="42" customWidth="1"/>
    <col min="525" max="769" width="9.109375" style="42"/>
    <col min="770" max="770" width="17.44140625" style="42" customWidth="1"/>
    <col min="771" max="771" width="12.109375" style="42" customWidth="1"/>
    <col min="772" max="772" width="11.5546875" style="42" customWidth="1"/>
    <col min="773" max="773" width="12.109375" style="42" customWidth="1"/>
    <col min="774" max="774" width="12" style="42" customWidth="1"/>
    <col min="775" max="775" width="19.44140625" style="42" customWidth="1"/>
    <col min="776" max="776" width="13.88671875" style="42" customWidth="1"/>
    <col min="777" max="777" width="11.44140625" style="42" customWidth="1"/>
    <col min="778" max="778" width="12.44140625" style="42" customWidth="1"/>
    <col min="779" max="779" width="11.5546875" style="42" customWidth="1"/>
    <col min="780" max="780" width="9.5546875" style="42" customWidth="1"/>
    <col min="781" max="1025" width="9.109375" style="42"/>
    <col min="1026" max="1026" width="17.44140625" style="42" customWidth="1"/>
    <col min="1027" max="1027" width="12.109375" style="42" customWidth="1"/>
    <col min="1028" max="1028" width="11.5546875" style="42" customWidth="1"/>
    <col min="1029" max="1029" width="12.109375" style="42" customWidth="1"/>
    <col min="1030" max="1030" width="12" style="42" customWidth="1"/>
    <col min="1031" max="1031" width="19.44140625" style="42" customWidth="1"/>
    <col min="1032" max="1032" width="13.88671875" style="42" customWidth="1"/>
    <col min="1033" max="1033" width="11.44140625" style="42" customWidth="1"/>
    <col min="1034" max="1034" width="12.44140625" style="42" customWidth="1"/>
    <col min="1035" max="1035" width="11.5546875" style="42" customWidth="1"/>
    <col min="1036" max="1036" width="9.5546875" style="42" customWidth="1"/>
    <col min="1037" max="1281" width="9.109375" style="42"/>
    <col min="1282" max="1282" width="17.44140625" style="42" customWidth="1"/>
    <col min="1283" max="1283" width="12.109375" style="42" customWidth="1"/>
    <col min="1284" max="1284" width="11.5546875" style="42" customWidth="1"/>
    <col min="1285" max="1285" width="12.109375" style="42" customWidth="1"/>
    <col min="1286" max="1286" width="12" style="42" customWidth="1"/>
    <col min="1287" max="1287" width="19.44140625" style="42" customWidth="1"/>
    <col min="1288" max="1288" width="13.88671875" style="42" customWidth="1"/>
    <col min="1289" max="1289" width="11.44140625" style="42" customWidth="1"/>
    <col min="1290" max="1290" width="12.44140625" style="42" customWidth="1"/>
    <col min="1291" max="1291" width="11.5546875" style="42" customWidth="1"/>
    <col min="1292" max="1292" width="9.5546875" style="42" customWidth="1"/>
    <col min="1293" max="1537" width="9.109375" style="42"/>
    <col min="1538" max="1538" width="17.44140625" style="42" customWidth="1"/>
    <col min="1539" max="1539" width="12.109375" style="42" customWidth="1"/>
    <col min="1540" max="1540" width="11.5546875" style="42" customWidth="1"/>
    <col min="1541" max="1541" width="12.109375" style="42" customWidth="1"/>
    <col min="1542" max="1542" width="12" style="42" customWidth="1"/>
    <col min="1543" max="1543" width="19.44140625" style="42" customWidth="1"/>
    <col min="1544" max="1544" width="13.88671875" style="42" customWidth="1"/>
    <col min="1545" max="1545" width="11.44140625" style="42" customWidth="1"/>
    <col min="1546" max="1546" width="12.44140625" style="42" customWidth="1"/>
    <col min="1547" max="1547" width="11.5546875" style="42" customWidth="1"/>
    <col min="1548" max="1548" width="9.5546875" style="42" customWidth="1"/>
    <col min="1549" max="1793" width="9.109375" style="42"/>
    <col min="1794" max="1794" width="17.44140625" style="42" customWidth="1"/>
    <col min="1795" max="1795" width="12.109375" style="42" customWidth="1"/>
    <col min="1796" max="1796" width="11.5546875" style="42" customWidth="1"/>
    <col min="1797" max="1797" width="12.109375" style="42" customWidth="1"/>
    <col min="1798" max="1798" width="12" style="42" customWidth="1"/>
    <col min="1799" max="1799" width="19.44140625" style="42" customWidth="1"/>
    <col min="1800" max="1800" width="13.88671875" style="42" customWidth="1"/>
    <col min="1801" max="1801" width="11.44140625" style="42" customWidth="1"/>
    <col min="1802" max="1802" width="12.44140625" style="42" customWidth="1"/>
    <col min="1803" max="1803" width="11.5546875" style="42" customWidth="1"/>
    <col min="1804" max="1804" width="9.5546875" style="42" customWidth="1"/>
    <col min="1805" max="2049" width="9.109375" style="42"/>
    <col min="2050" max="2050" width="17.44140625" style="42" customWidth="1"/>
    <col min="2051" max="2051" width="12.109375" style="42" customWidth="1"/>
    <col min="2052" max="2052" width="11.5546875" style="42" customWidth="1"/>
    <col min="2053" max="2053" width="12.109375" style="42" customWidth="1"/>
    <col min="2054" max="2054" width="12" style="42" customWidth="1"/>
    <col min="2055" max="2055" width="19.44140625" style="42" customWidth="1"/>
    <col min="2056" max="2056" width="13.88671875" style="42" customWidth="1"/>
    <col min="2057" max="2057" width="11.44140625" style="42" customWidth="1"/>
    <col min="2058" max="2058" width="12.44140625" style="42" customWidth="1"/>
    <col min="2059" max="2059" width="11.5546875" style="42" customWidth="1"/>
    <col min="2060" max="2060" width="9.5546875" style="42" customWidth="1"/>
    <col min="2061" max="2305" width="9.109375" style="42"/>
    <col min="2306" max="2306" width="17.44140625" style="42" customWidth="1"/>
    <col min="2307" max="2307" width="12.109375" style="42" customWidth="1"/>
    <col min="2308" max="2308" width="11.5546875" style="42" customWidth="1"/>
    <col min="2309" max="2309" width="12.109375" style="42" customWidth="1"/>
    <col min="2310" max="2310" width="12" style="42" customWidth="1"/>
    <col min="2311" max="2311" width="19.44140625" style="42" customWidth="1"/>
    <col min="2312" max="2312" width="13.88671875" style="42" customWidth="1"/>
    <col min="2313" max="2313" width="11.44140625" style="42" customWidth="1"/>
    <col min="2314" max="2314" width="12.44140625" style="42" customWidth="1"/>
    <col min="2315" max="2315" width="11.5546875" style="42" customWidth="1"/>
    <col min="2316" max="2316" width="9.5546875" style="42" customWidth="1"/>
    <col min="2317" max="2561" width="9.109375" style="42"/>
    <col min="2562" max="2562" width="17.44140625" style="42" customWidth="1"/>
    <col min="2563" max="2563" width="12.109375" style="42" customWidth="1"/>
    <col min="2564" max="2564" width="11.5546875" style="42" customWidth="1"/>
    <col min="2565" max="2565" width="12.109375" style="42" customWidth="1"/>
    <col min="2566" max="2566" width="12" style="42" customWidth="1"/>
    <col min="2567" max="2567" width="19.44140625" style="42" customWidth="1"/>
    <col min="2568" max="2568" width="13.88671875" style="42" customWidth="1"/>
    <col min="2569" max="2569" width="11.44140625" style="42" customWidth="1"/>
    <col min="2570" max="2570" width="12.44140625" style="42" customWidth="1"/>
    <col min="2571" max="2571" width="11.5546875" style="42" customWidth="1"/>
    <col min="2572" max="2572" width="9.5546875" style="42" customWidth="1"/>
    <col min="2573" max="2817" width="9.109375" style="42"/>
    <col min="2818" max="2818" width="17.44140625" style="42" customWidth="1"/>
    <col min="2819" max="2819" width="12.109375" style="42" customWidth="1"/>
    <col min="2820" max="2820" width="11.5546875" style="42" customWidth="1"/>
    <col min="2821" max="2821" width="12.109375" style="42" customWidth="1"/>
    <col min="2822" max="2822" width="12" style="42" customWidth="1"/>
    <col min="2823" max="2823" width="19.44140625" style="42" customWidth="1"/>
    <col min="2824" max="2824" width="13.88671875" style="42" customWidth="1"/>
    <col min="2825" max="2825" width="11.44140625" style="42" customWidth="1"/>
    <col min="2826" max="2826" width="12.44140625" style="42" customWidth="1"/>
    <col min="2827" max="2827" width="11.5546875" style="42" customWidth="1"/>
    <col min="2828" max="2828" width="9.5546875" style="42" customWidth="1"/>
    <col min="2829" max="3073" width="9.109375" style="42"/>
    <col min="3074" max="3074" width="17.44140625" style="42" customWidth="1"/>
    <col min="3075" max="3075" width="12.109375" style="42" customWidth="1"/>
    <col min="3076" max="3076" width="11.5546875" style="42" customWidth="1"/>
    <col min="3077" max="3077" width="12.109375" style="42" customWidth="1"/>
    <col min="3078" max="3078" width="12" style="42" customWidth="1"/>
    <col min="3079" max="3079" width="19.44140625" style="42" customWidth="1"/>
    <col min="3080" max="3080" width="13.88671875" style="42" customWidth="1"/>
    <col min="3081" max="3081" width="11.44140625" style="42" customWidth="1"/>
    <col min="3082" max="3082" width="12.44140625" style="42" customWidth="1"/>
    <col min="3083" max="3083" width="11.5546875" style="42" customWidth="1"/>
    <col min="3084" max="3084" width="9.5546875" style="42" customWidth="1"/>
    <col min="3085" max="3329" width="9.109375" style="42"/>
    <col min="3330" max="3330" width="17.44140625" style="42" customWidth="1"/>
    <col min="3331" max="3331" width="12.109375" style="42" customWidth="1"/>
    <col min="3332" max="3332" width="11.5546875" style="42" customWidth="1"/>
    <col min="3333" max="3333" width="12.109375" style="42" customWidth="1"/>
    <col min="3334" max="3334" width="12" style="42" customWidth="1"/>
    <col min="3335" max="3335" width="19.44140625" style="42" customWidth="1"/>
    <col min="3336" max="3336" width="13.88671875" style="42" customWidth="1"/>
    <col min="3337" max="3337" width="11.44140625" style="42" customWidth="1"/>
    <col min="3338" max="3338" width="12.44140625" style="42" customWidth="1"/>
    <col min="3339" max="3339" width="11.5546875" style="42" customWidth="1"/>
    <col min="3340" max="3340" width="9.5546875" style="42" customWidth="1"/>
    <col min="3341" max="3585" width="9.109375" style="42"/>
    <col min="3586" max="3586" width="17.44140625" style="42" customWidth="1"/>
    <col min="3587" max="3587" width="12.109375" style="42" customWidth="1"/>
    <col min="3588" max="3588" width="11.5546875" style="42" customWidth="1"/>
    <col min="3589" max="3589" width="12.109375" style="42" customWidth="1"/>
    <col min="3590" max="3590" width="12" style="42" customWidth="1"/>
    <col min="3591" max="3591" width="19.44140625" style="42" customWidth="1"/>
    <col min="3592" max="3592" width="13.88671875" style="42" customWidth="1"/>
    <col min="3593" max="3593" width="11.44140625" style="42" customWidth="1"/>
    <col min="3594" max="3594" width="12.44140625" style="42" customWidth="1"/>
    <col min="3595" max="3595" width="11.5546875" style="42" customWidth="1"/>
    <col min="3596" max="3596" width="9.5546875" style="42" customWidth="1"/>
    <col min="3597" max="3841" width="9.109375" style="42"/>
    <col min="3842" max="3842" width="17.44140625" style="42" customWidth="1"/>
    <col min="3843" max="3843" width="12.109375" style="42" customWidth="1"/>
    <col min="3844" max="3844" width="11.5546875" style="42" customWidth="1"/>
    <col min="3845" max="3845" width="12.109375" style="42" customWidth="1"/>
    <col min="3846" max="3846" width="12" style="42" customWidth="1"/>
    <col min="3847" max="3847" width="19.44140625" style="42" customWidth="1"/>
    <col min="3848" max="3848" width="13.88671875" style="42" customWidth="1"/>
    <col min="3849" max="3849" width="11.44140625" style="42" customWidth="1"/>
    <col min="3850" max="3850" width="12.44140625" style="42" customWidth="1"/>
    <col min="3851" max="3851" width="11.5546875" style="42" customWidth="1"/>
    <col min="3852" max="3852" width="9.5546875" style="42" customWidth="1"/>
    <col min="3853" max="4097" width="9.109375" style="42"/>
    <col min="4098" max="4098" width="17.44140625" style="42" customWidth="1"/>
    <col min="4099" max="4099" width="12.109375" style="42" customWidth="1"/>
    <col min="4100" max="4100" width="11.5546875" style="42" customWidth="1"/>
    <col min="4101" max="4101" width="12.109375" style="42" customWidth="1"/>
    <col min="4102" max="4102" width="12" style="42" customWidth="1"/>
    <col min="4103" max="4103" width="19.44140625" style="42" customWidth="1"/>
    <col min="4104" max="4104" width="13.88671875" style="42" customWidth="1"/>
    <col min="4105" max="4105" width="11.44140625" style="42" customWidth="1"/>
    <col min="4106" max="4106" width="12.44140625" style="42" customWidth="1"/>
    <col min="4107" max="4107" width="11.5546875" style="42" customWidth="1"/>
    <col min="4108" max="4108" width="9.5546875" style="42" customWidth="1"/>
    <col min="4109" max="4353" width="9.109375" style="42"/>
    <col min="4354" max="4354" width="17.44140625" style="42" customWidth="1"/>
    <col min="4355" max="4355" width="12.109375" style="42" customWidth="1"/>
    <col min="4356" max="4356" width="11.5546875" style="42" customWidth="1"/>
    <col min="4357" max="4357" width="12.109375" style="42" customWidth="1"/>
    <col min="4358" max="4358" width="12" style="42" customWidth="1"/>
    <col min="4359" max="4359" width="19.44140625" style="42" customWidth="1"/>
    <col min="4360" max="4360" width="13.88671875" style="42" customWidth="1"/>
    <col min="4361" max="4361" width="11.44140625" style="42" customWidth="1"/>
    <col min="4362" max="4362" width="12.44140625" style="42" customWidth="1"/>
    <col min="4363" max="4363" width="11.5546875" style="42" customWidth="1"/>
    <col min="4364" max="4364" width="9.5546875" style="42" customWidth="1"/>
    <col min="4365" max="4609" width="9.109375" style="42"/>
    <col min="4610" max="4610" width="17.44140625" style="42" customWidth="1"/>
    <col min="4611" max="4611" width="12.109375" style="42" customWidth="1"/>
    <col min="4612" max="4612" width="11.5546875" style="42" customWidth="1"/>
    <col min="4613" max="4613" width="12.109375" style="42" customWidth="1"/>
    <col min="4614" max="4614" width="12" style="42" customWidth="1"/>
    <col min="4615" max="4615" width="19.44140625" style="42" customWidth="1"/>
    <col min="4616" max="4616" width="13.88671875" style="42" customWidth="1"/>
    <col min="4617" max="4617" width="11.44140625" style="42" customWidth="1"/>
    <col min="4618" max="4618" width="12.44140625" style="42" customWidth="1"/>
    <col min="4619" max="4619" width="11.5546875" style="42" customWidth="1"/>
    <col min="4620" max="4620" width="9.5546875" style="42" customWidth="1"/>
    <col min="4621" max="4865" width="9.109375" style="42"/>
    <col min="4866" max="4866" width="17.44140625" style="42" customWidth="1"/>
    <col min="4867" max="4867" width="12.109375" style="42" customWidth="1"/>
    <col min="4868" max="4868" width="11.5546875" style="42" customWidth="1"/>
    <col min="4869" max="4869" width="12.109375" style="42" customWidth="1"/>
    <col min="4870" max="4870" width="12" style="42" customWidth="1"/>
    <col min="4871" max="4871" width="19.44140625" style="42" customWidth="1"/>
    <col min="4872" max="4872" width="13.88671875" style="42" customWidth="1"/>
    <col min="4873" max="4873" width="11.44140625" style="42" customWidth="1"/>
    <col min="4874" max="4874" width="12.44140625" style="42" customWidth="1"/>
    <col min="4875" max="4875" width="11.5546875" style="42" customWidth="1"/>
    <col min="4876" max="4876" width="9.5546875" style="42" customWidth="1"/>
    <col min="4877" max="5121" width="9.109375" style="42"/>
    <col min="5122" max="5122" width="17.44140625" style="42" customWidth="1"/>
    <col min="5123" max="5123" width="12.109375" style="42" customWidth="1"/>
    <col min="5124" max="5124" width="11.5546875" style="42" customWidth="1"/>
    <col min="5125" max="5125" width="12.109375" style="42" customWidth="1"/>
    <col min="5126" max="5126" width="12" style="42" customWidth="1"/>
    <col min="5127" max="5127" width="19.44140625" style="42" customWidth="1"/>
    <col min="5128" max="5128" width="13.88671875" style="42" customWidth="1"/>
    <col min="5129" max="5129" width="11.44140625" style="42" customWidth="1"/>
    <col min="5130" max="5130" width="12.44140625" style="42" customWidth="1"/>
    <col min="5131" max="5131" width="11.5546875" style="42" customWidth="1"/>
    <col min="5132" max="5132" width="9.5546875" style="42" customWidth="1"/>
    <col min="5133" max="5377" width="9.109375" style="42"/>
    <col min="5378" max="5378" width="17.44140625" style="42" customWidth="1"/>
    <col min="5379" max="5379" width="12.109375" style="42" customWidth="1"/>
    <col min="5380" max="5380" width="11.5546875" style="42" customWidth="1"/>
    <col min="5381" max="5381" width="12.109375" style="42" customWidth="1"/>
    <col min="5382" max="5382" width="12" style="42" customWidth="1"/>
    <col min="5383" max="5383" width="19.44140625" style="42" customWidth="1"/>
    <col min="5384" max="5384" width="13.88671875" style="42" customWidth="1"/>
    <col min="5385" max="5385" width="11.44140625" style="42" customWidth="1"/>
    <col min="5386" max="5386" width="12.44140625" style="42" customWidth="1"/>
    <col min="5387" max="5387" width="11.5546875" style="42" customWidth="1"/>
    <col min="5388" max="5388" width="9.5546875" style="42" customWidth="1"/>
    <col min="5389" max="5633" width="9.109375" style="42"/>
    <col min="5634" max="5634" width="17.44140625" style="42" customWidth="1"/>
    <col min="5635" max="5635" width="12.109375" style="42" customWidth="1"/>
    <col min="5636" max="5636" width="11.5546875" style="42" customWidth="1"/>
    <col min="5637" max="5637" width="12.109375" style="42" customWidth="1"/>
    <col min="5638" max="5638" width="12" style="42" customWidth="1"/>
    <col min="5639" max="5639" width="19.44140625" style="42" customWidth="1"/>
    <col min="5640" max="5640" width="13.88671875" style="42" customWidth="1"/>
    <col min="5641" max="5641" width="11.44140625" style="42" customWidth="1"/>
    <col min="5642" max="5642" width="12.44140625" style="42" customWidth="1"/>
    <col min="5643" max="5643" width="11.5546875" style="42" customWidth="1"/>
    <col min="5644" max="5644" width="9.5546875" style="42" customWidth="1"/>
    <col min="5645" max="5889" width="9.109375" style="42"/>
    <col min="5890" max="5890" width="17.44140625" style="42" customWidth="1"/>
    <col min="5891" max="5891" width="12.109375" style="42" customWidth="1"/>
    <col min="5892" max="5892" width="11.5546875" style="42" customWidth="1"/>
    <col min="5893" max="5893" width="12.109375" style="42" customWidth="1"/>
    <col min="5894" max="5894" width="12" style="42" customWidth="1"/>
    <col min="5895" max="5895" width="19.44140625" style="42" customWidth="1"/>
    <col min="5896" max="5896" width="13.88671875" style="42" customWidth="1"/>
    <col min="5897" max="5897" width="11.44140625" style="42" customWidth="1"/>
    <col min="5898" max="5898" width="12.44140625" style="42" customWidth="1"/>
    <col min="5899" max="5899" width="11.5546875" style="42" customWidth="1"/>
    <col min="5900" max="5900" width="9.5546875" style="42" customWidth="1"/>
    <col min="5901" max="6145" width="9.109375" style="42"/>
    <col min="6146" max="6146" width="17.44140625" style="42" customWidth="1"/>
    <col min="6147" max="6147" width="12.109375" style="42" customWidth="1"/>
    <col min="6148" max="6148" width="11.5546875" style="42" customWidth="1"/>
    <col min="6149" max="6149" width="12.109375" style="42" customWidth="1"/>
    <col min="6150" max="6150" width="12" style="42" customWidth="1"/>
    <col min="6151" max="6151" width="19.44140625" style="42" customWidth="1"/>
    <col min="6152" max="6152" width="13.88671875" style="42" customWidth="1"/>
    <col min="6153" max="6153" width="11.44140625" style="42" customWidth="1"/>
    <col min="6154" max="6154" width="12.44140625" style="42" customWidth="1"/>
    <col min="6155" max="6155" width="11.5546875" style="42" customWidth="1"/>
    <col min="6156" max="6156" width="9.5546875" style="42" customWidth="1"/>
    <col min="6157" max="6401" width="9.109375" style="42"/>
    <col min="6402" max="6402" width="17.44140625" style="42" customWidth="1"/>
    <col min="6403" max="6403" width="12.109375" style="42" customWidth="1"/>
    <col min="6404" max="6404" width="11.5546875" style="42" customWidth="1"/>
    <col min="6405" max="6405" width="12.109375" style="42" customWidth="1"/>
    <col min="6406" max="6406" width="12" style="42" customWidth="1"/>
    <col min="6407" max="6407" width="19.44140625" style="42" customWidth="1"/>
    <col min="6408" max="6408" width="13.88671875" style="42" customWidth="1"/>
    <col min="6409" max="6409" width="11.44140625" style="42" customWidth="1"/>
    <col min="6410" max="6410" width="12.44140625" style="42" customWidth="1"/>
    <col min="6411" max="6411" width="11.5546875" style="42" customWidth="1"/>
    <col min="6412" max="6412" width="9.5546875" style="42" customWidth="1"/>
    <col min="6413" max="6657" width="9.109375" style="42"/>
    <col min="6658" max="6658" width="17.44140625" style="42" customWidth="1"/>
    <col min="6659" max="6659" width="12.109375" style="42" customWidth="1"/>
    <col min="6660" max="6660" width="11.5546875" style="42" customWidth="1"/>
    <col min="6661" max="6661" width="12.109375" style="42" customWidth="1"/>
    <col min="6662" max="6662" width="12" style="42" customWidth="1"/>
    <col min="6663" max="6663" width="19.44140625" style="42" customWidth="1"/>
    <col min="6664" max="6664" width="13.88671875" style="42" customWidth="1"/>
    <col min="6665" max="6665" width="11.44140625" style="42" customWidth="1"/>
    <col min="6666" max="6666" width="12.44140625" style="42" customWidth="1"/>
    <col min="6667" max="6667" width="11.5546875" style="42" customWidth="1"/>
    <col min="6668" max="6668" width="9.5546875" style="42" customWidth="1"/>
    <col min="6669" max="6913" width="9.109375" style="42"/>
    <col min="6914" max="6914" width="17.44140625" style="42" customWidth="1"/>
    <col min="6915" max="6915" width="12.109375" style="42" customWidth="1"/>
    <col min="6916" max="6916" width="11.5546875" style="42" customWidth="1"/>
    <col min="6917" max="6917" width="12.109375" style="42" customWidth="1"/>
    <col min="6918" max="6918" width="12" style="42" customWidth="1"/>
    <col min="6919" max="6919" width="19.44140625" style="42" customWidth="1"/>
    <col min="6920" max="6920" width="13.88671875" style="42" customWidth="1"/>
    <col min="6921" max="6921" width="11.44140625" style="42" customWidth="1"/>
    <col min="6922" max="6922" width="12.44140625" style="42" customWidth="1"/>
    <col min="6923" max="6923" width="11.5546875" style="42" customWidth="1"/>
    <col min="6924" max="6924" width="9.5546875" style="42" customWidth="1"/>
    <col min="6925" max="7169" width="9.109375" style="42"/>
    <col min="7170" max="7170" width="17.44140625" style="42" customWidth="1"/>
    <col min="7171" max="7171" width="12.109375" style="42" customWidth="1"/>
    <col min="7172" max="7172" width="11.5546875" style="42" customWidth="1"/>
    <col min="7173" max="7173" width="12.109375" style="42" customWidth="1"/>
    <col min="7174" max="7174" width="12" style="42" customWidth="1"/>
    <col min="7175" max="7175" width="19.44140625" style="42" customWidth="1"/>
    <col min="7176" max="7176" width="13.88671875" style="42" customWidth="1"/>
    <col min="7177" max="7177" width="11.44140625" style="42" customWidth="1"/>
    <col min="7178" max="7178" width="12.44140625" style="42" customWidth="1"/>
    <col min="7179" max="7179" width="11.5546875" style="42" customWidth="1"/>
    <col min="7180" max="7180" width="9.5546875" style="42" customWidth="1"/>
    <col min="7181" max="7425" width="9.109375" style="42"/>
    <col min="7426" max="7426" width="17.44140625" style="42" customWidth="1"/>
    <col min="7427" max="7427" width="12.109375" style="42" customWidth="1"/>
    <col min="7428" max="7428" width="11.5546875" style="42" customWidth="1"/>
    <col min="7429" max="7429" width="12.109375" style="42" customWidth="1"/>
    <col min="7430" max="7430" width="12" style="42" customWidth="1"/>
    <col min="7431" max="7431" width="19.44140625" style="42" customWidth="1"/>
    <col min="7432" max="7432" width="13.88671875" style="42" customWidth="1"/>
    <col min="7433" max="7433" width="11.44140625" style="42" customWidth="1"/>
    <col min="7434" max="7434" width="12.44140625" style="42" customWidth="1"/>
    <col min="7435" max="7435" width="11.5546875" style="42" customWidth="1"/>
    <col min="7436" max="7436" width="9.5546875" style="42" customWidth="1"/>
    <col min="7437" max="7681" width="9.109375" style="42"/>
    <col min="7682" max="7682" width="17.44140625" style="42" customWidth="1"/>
    <col min="7683" max="7683" width="12.109375" style="42" customWidth="1"/>
    <col min="7684" max="7684" width="11.5546875" style="42" customWidth="1"/>
    <col min="7685" max="7685" width="12.109375" style="42" customWidth="1"/>
    <col min="7686" max="7686" width="12" style="42" customWidth="1"/>
    <col min="7687" max="7687" width="19.44140625" style="42" customWidth="1"/>
    <col min="7688" max="7688" width="13.88671875" style="42" customWidth="1"/>
    <col min="7689" max="7689" width="11.44140625" style="42" customWidth="1"/>
    <col min="7690" max="7690" width="12.44140625" style="42" customWidth="1"/>
    <col min="7691" max="7691" width="11.5546875" style="42" customWidth="1"/>
    <col min="7692" max="7692" width="9.5546875" style="42" customWidth="1"/>
    <col min="7693" max="7937" width="9.109375" style="42"/>
    <col min="7938" max="7938" width="17.44140625" style="42" customWidth="1"/>
    <col min="7939" max="7939" width="12.109375" style="42" customWidth="1"/>
    <col min="7940" max="7940" width="11.5546875" style="42" customWidth="1"/>
    <col min="7941" max="7941" width="12.109375" style="42" customWidth="1"/>
    <col min="7942" max="7942" width="12" style="42" customWidth="1"/>
    <col min="7943" max="7943" width="19.44140625" style="42" customWidth="1"/>
    <col min="7944" max="7944" width="13.88671875" style="42" customWidth="1"/>
    <col min="7945" max="7945" width="11.44140625" style="42" customWidth="1"/>
    <col min="7946" max="7946" width="12.44140625" style="42" customWidth="1"/>
    <col min="7947" max="7947" width="11.5546875" style="42" customWidth="1"/>
    <col min="7948" max="7948" width="9.5546875" style="42" customWidth="1"/>
    <col min="7949" max="8193" width="9.109375" style="42"/>
    <col min="8194" max="8194" width="17.44140625" style="42" customWidth="1"/>
    <col min="8195" max="8195" width="12.109375" style="42" customWidth="1"/>
    <col min="8196" max="8196" width="11.5546875" style="42" customWidth="1"/>
    <col min="8197" max="8197" width="12.109375" style="42" customWidth="1"/>
    <col min="8198" max="8198" width="12" style="42" customWidth="1"/>
    <col min="8199" max="8199" width="19.44140625" style="42" customWidth="1"/>
    <col min="8200" max="8200" width="13.88671875" style="42" customWidth="1"/>
    <col min="8201" max="8201" width="11.44140625" style="42" customWidth="1"/>
    <col min="8202" max="8202" width="12.44140625" style="42" customWidth="1"/>
    <col min="8203" max="8203" width="11.5546875" style="42" customWidth="1"/>
    <col min="8204" max="8204" width="9.5546875" style="42" customWidth="1"/>
    <col min="8205" max="8449" width="9.109375" style="42"/>
    <col min="8450" max="8450" width="17.44140625" style="42" customWidth="1"/>
    <col min="8451" max="8451" width="12.109375" style="42" customWidth="1"/>
    <col min="8452" max="8452" width="11.5546875" style="42" customWidth="1"/>
    <col min="8453" max="8453" width="12.109375" style="42" customWidth="1"/>
    <col min="8454" max="8454" width="12" style="42" customWidth="1"/>
    <col min="8455" max="8455" width="19.44140625" style="42" customWidth="1"/>
    <col min="8456" max="8456" width="13.88671875" style="42" customWidth="1"/>
    <col min="8457" max="8457" width="11.44140625" style="42" customWidth="1"/>
    <col min="8458" max="8458" width="12.44140625" style="42" customWidth="1"/>
    <col min="8459" max="8459" width="11.5546875" style="42" customWidth="1"/>
    <col min="8460" max="8460" width="9.5546875" style="42" customWidth="1"/>
    <col min="8461" max="8705" width="9.109375" style="42"/>
    <col min="8706" max="8706" width="17.44140625" style="42" customWidth="1"/>
    <col min="8707" max="8707" width="12.109375" style="42" customWidth="1"/>
    <col min="8708" max="8708" width="11.5546875" style="42" customWidth="1"/>
    <col min="8709" max="8709" width="12.109375" style="42" customWidth="1"/>
    <col min="8710" max="8710" width="12" style="42" customWidth="1"/>
    <col min="8711" max="8711" width="19.44140625" style="42" customWidth="1"/>
    <col min="8712" max="8712" width="13.88671875" style="42" customWidth="1"/>
    <col min="8713" max="8713" width="11.44140625" style="42" customWidth="1"/>
    <col min="8714" max="8714" width="12.44140625" style="42" customWidth="1"/>
    <col min="8715" max="8715" width="11.5546875" style="42" customWidth="1"/>
    <col min="8716" max="8716" width="9.5546875" style="42" customWidth="1"/>
    <col min="8717" max="8961" width="9.109375" style="42"/>
    <col min="8962" max="8962" width="17.44140625" style="42" customWidth="1"/>
    <col min="8963" max="8963" width="12.109375" style="42" customWidth="1"/>
    <col min="8964" max="8964" width="11.5546875" style="42" customWidth="1"/>
    <col min="8965" max="8965" width="12.109375" style="42" customWidth="1"/>
    <col min="8966" max="8966" width="12" style="42" customWidth="1"/>
    <col min="8967" max="8967" width="19.44140625" style="42" customWidth="1"/>
    <col min="8968" max="8968" width="13.88671875" style="42" customWidth="1"/>
    <col min="8969" max="8969" width="11.44140625" style="42" customWidth="1"/>
    <col min="8970" max="8970" width="12.44140625" style="42" customWidth="1"/>
    <col min="8971" max="8971" width="11.5546875" style="42" customWidth="1"/>
    <col min="8972" max="8972" width="9.5546875" style="42" customWidth="1"/>
    <col min="8973" max="9217" width="9.109375" style="42"/>
    <col min="9218" max="9218" width="17.44140625" style="42" customWidth="1"/>
    <col min="9219" max="9219" width="12.109375" style="42" customWidth="1"/>
    <col min="9220" max="9220" width="11.5546875" style="42" customWidth="1"/>
    <col min="9221" max="9221" width="12.109375" style="42" customWidth="1"/>
    <col min="9222" max="9222" width="12" style="42" customWidth="1"/>
    <col min="9223" max="9223" width="19.44140625" style="42" customWidth="1"/>
    <col min="9224" max="9224" width="13.88671875" style="42" customWidth="1"/>
    <col min="9225" max="9225" width="11.44140625" style="42" customWidth="1"/>
    <col min="9226" max="9226" width="12.44140625" style="42" customWidth="1"/>
    <col min="9227" max="9227" width="11.5546875" style="42" customWidth="1"/>
    <col min="9228" max="9228" width="9.5546875" style="42" customWidth="1"/>
    <col min="9229" max="9473" width="9.109375" style="42"/>
    <col min="9474" max="9474" width="17.44140625" style="42" customWidth="1"/>
    <col min="9475" max="9475" width="12.109375" style="42" customWidth="1"/>
    <col min="9476" max="9476" width="11.5546875" style="42" customWidth="1"/>
    <col min="9477" max="9477" width="12.109375" style="42" customWidth="1"/>
    <col min="9478" max="9478" width="12" style="42" customWidth="1"/>
    <col min="9479" max="9479" width="19.44140625" style="42" customWidth="1"/>
    <col min="9480" max="9480" width="13.88671875" style="42" customWidth="1"/>
    <col min="9481" max="9481" width="11.44140625" style="42" customWidth="1"/>
    <col min="9482" max="9482" width="12.44140625" style="42" customWidth="1"/>
    <col min="9483" max="9483" width="11.5546875" style="42" customWidth="1"/>
    <col min="9484" max="9484" width="9.5546875" style="42" customWidth="1"/>
    <col min="9485" max="9729" width="9.109375" style="42"/>
    <col min="9730" max="9730" width="17.44140625" style="42" customWidth="1"/>
    <col min="9731" max="9731" width="12.109375" style="42" customWidth="1"/>
    <col min="9732" max="9732" width="11.5546875" style="42" customWidth="1"/>
    <col min="9733" max="9733" width="12.109375" style="42" customWidth="1"/>
    <col min="9734" max="9734" width="12" style="42" customWidth="1"/>
    <col min="9735" max="9735" width="19.44140625" style="42" customWidth="1"/>
    <col min="9736" max="9736" width="13.88671875" style="42" customWidth="1"/>
    <col min="9737" max="9737" width="11.44140625" style="42" customWidth="1"/>
    <col min="9738" max="9738" width="12.44140625" style="42" customWidth="1"/>
    <col min="9739" max="9739" width="11.5546875" style="42" customWidth="1"/>
    <col min="9740" max="9740" width="9.5546875" style="42" customWidth="1"/>
    <col min="9741" max="9985" width="9.109375" style="42"/>
    <col min="9986" max="9986" width="17.44140625" style="42" customWidth="1"/>
    <col min="9987" max="9987" width="12.109375" style="42" customWidth="1"/>
    <col min="9988" max="9988" width="11.5546875" style="42" customWidth="1"/>
    <col min="9989" max="9989" width="12.109375" style="42" customWidth="1"/>
    <col min="9990" max="9990" width="12" style="42" customWidth="1"/>
    <col min="9991" max="9991" width="19.44140625" style="42" customWidth="1"/>
    <col min="9992" max="9992" width="13.88671875" style="42" customWidth="1"/>
    <col min="9993" max="9993" width="11.44140625" style="42" customWidth="1"/>
    <col min="9994" max="9994" width="12.44140625" style="42" customWidth="1"/>
    <col min="9995" max="9995" width="11.5546875" style="42" customWidth="1"/>
    <col min="9996" max="9996" width="9.5546875" style="42" customWidth="1"/>
    <col min="9997" max="10241" width="9.109375" style="42"/>
    <col min="10242" max="10242" width="17.44140625" style="42" customWidth="1"/>
    <col min="10243" max="10243" width="12.109375" style="42" customWidth="1"/>
    <col min="10244" max="10244" width="11.5546875" style="42" customWidth="1"/>
    <col min="10245" max="10245" width="12.109375" style="42" customWidth="1"/>
    <col min="10246" max="10246" width="12" style="42" customWidth="1"/>
    <col min="10247" max="10247" width="19.44140625" style="42" customWidth="1"/>
    <col min="10248" max="10248" width="13.88671875" style="42" customWidth="1"/>
    <col min="10249" max="10249" width="11.44140625" style="42" customWidth="1"/>
    <col min="10250" max="10250" width="12.44140625" style="42" customWidth="1"/>
    <col min="10251" max="10251" width="11.5546875" style="42" customWidth="1"/>
    <col min="10252" max="10252" width="9.5546875" style="42" customWidth="1"/>
    <col min="10253" max="10497" width="9.109375" style="42"/>
    <col min="10498" max="10498" width="17.44140625" style="42" customWidth="1"/>
    <col min="10499" max="10499" width="12.109375" style="42" customWidth="1"/>
    <col min="10500" max="10500" width="11.5546875" style="42" customWidth="1"/>
    <col min="10501" max="10501" width="12.109375" style="42" customWidth="1"/>
    <col min="10502" max="10502" width="12" style="42" customWidth="1"/>
    <col min="10503" max="10503" width="19.44140625" style="42" customWidth="1"/>
    <col min="10504" max="10504" width="13.88671875" style="42" customWidth="1"/>
    <col min="10505" max="10505" width="11.44140625" style="42" customWidth="1"/>
    <col min="10506" max="10506" width="12.44140625" style="42" customWidth="1"/>
    <col min="10507" max="10507" width="11.5546875" style="42" customWidth="1"/>
    <col min="10508" max="10508" width="9.5546875" style="42" customWidth="1"/>
    <col min="10509" max="10753" width="9.109375" style="42"/>
    <col min="10754" max="10754" width="17.44140625" style="42" customWidth="1"/>
    <col min="10755" max="10755" width="12.109375" style="42" customWidth="1"/>
    <col min="10756" max="10756" width="11.5546875" style="42" customWidth="1"/>
    <col min="10757" max="10757" width="12.109375" style="42" customWidth="1"/>
    <col min="10758" max="10758" width="12" style="42" customWidth="1"/>
    <col min="10759" max="10759" width="19.44140625" style="42" customWidth="1"/>
    <col min="10760" max="10760" width="13.88671875" style="42" customWidth="1"/>
    <col min="10761" max="10761" width="11.44140625" style="42" customWidth="1"/>
    <col min="10762" max="10762" width="12.44140625" style="42" customWidth="1"/>
    <col min="10763" max="10763" width="11.5546875" style="42" customWidth="1"/>
    <col min="10764" max="10764" width="9.5546875" style="42" customWidth="1"/>
    <col min="10765" max="11009" width="9.109375" style="42"/>
    <col min="11010" max="11010" width="17.44140625" style="42" customWidth="1"/>
    <col min="11011" max="11011" width="12.109375" style="42" customWidth="1"/>
    <col min="11012" max="11012" width="11.5546875" style="42" customWidth="1"/>
    <col min="11013" max="11013" width="12.109375" style="42" customWidth="1"/>
    <col min="11014" max="11014" width="12" style="42" customWidth="1"/>
    <col min="11015" max="11015" width="19.44140625" style="42" customWidth="1"/>
    <col min="11016" max="11016" width="13.88671875" style="42" customWidth="1"/>
    <col min="11017" max="11017" width="11.44140625" style="42" customWidth="1"/>
    <col min="11018" max="11018" width="12.44140625" style="42" customWidth="1"/>
    <col min="11019" max="11019" width="11.5546875" style="42" customWidth="1"/>
    <col min="11020" max="11020" width="9.5546875" style="42" customWidth="1"/>
    <col min="11021" max="11265" width="9.109375" style="42"/>
    <col min="11266" max="11266" width="17.44140625" style="42" customWidth="1"/>
    <col min="11267" max="11267" width="12.109375" style="42" customWidth="1"/>
    <col min="11268" max="11268" width="11.5546875" style="42" customWidth="1"/>
    <col min="11269" max="11269" width="12.109375" style="42" customWidth="1"/>
    <col min="11270" max="11270" width="12" style="42" customWidth="1"/>
    <col min="11271" max="11271" width="19.44140625" style="42" customWidth="1"/>
    <col min="11272" max="11272" width="13.88671875" style="42" customWidth="1"/>
    <col min="11273" max="11273" width="11.44140625" style="42" customWidth="1"/>
    <col min="11274" max="11274" width="12.44140625" style="42" customWidth="1"/>
    <col min="11275" max="11275" width="11.5546875" style="42" customWidth="1"/>
    <col min="11276" max="11276" width="9.5546875" style="42" customWidth="1"/>
    <col min="11277" max="11521" width="9.109375" style="42"/>
    <col min="11522" max="11522" width="17.44140625" style="42" customWidth="1"/>
    <col min="11523" max="11523" width="12.109375" style="42" customWidth="1"/>
    <col min="11524" max="11524" width="11.5546875" style="42" customWidth="1"/>
    <col min="11525" max="11525" width="12.109375" style="42" customWidth="1"/>
    <col min="11526" max="11526" width="12" style="42" customWidth="1"/>
    <col min="11527" max="11527" width="19.44140625" style="42" customWidth="1"/>
    <col min="11528" max="11528" width="13.88671875" style="42" customWidth="1"/>
    <col min="11529" max="11529" width="11.44140625" style="42" customWidth="1"/>
    <col min="11530" max="11530" width="12.44140625" style="42" customWidth="1"/>
    <col min="11531" max="11531" width="11.5546875" style="42" customWidth="1"/>
    <col min="11532" max="11532" width="9.5546875" style="42" customWidth="1"/>
    <col min="11533" max="11777" width="9.109375" style="42"/>
    <col min="11778" max="11778" width="17.44140625" style="42" customWidth="1"/>
    <col min="11779" max="11779" width="12.109375" style="42" customWidth="1"/>
    <col min="11780" max="11780" width="11.5546875" style="42" customWidth="1"/>
    <col min="11781" max="11781" width="12.109375" style="42" customWidth="1"/>
    <col min="11782" max="11782" width="12" style="42" customWidth="1"/>
    <col min="11783" max="11783" width="19.44140625" style="42" customWidth="1"/>
    <col min="11784" max="11784" width="13.88671875" style="42" customWidth="1"/>
    <col min="11785" max="11785" width="11.44140625" style="42" customWidth="1"/>
    <col min="11786" max="11786" width="12.44140625" style="42" customWidth="1"/>
    <col min="11787" max="11787" width="11.5546875" style="42" customWidth="1"/>
    <col min="11788" max="11788" width="9.5546875" style="42" customWidth="1"/>
    <col min="11789" max="12033" width="9.109375" style="42"/>
    <col min="12034" max="12034" width="17.44140625" style="42" customWidth="1"/>
    <col min="12035" max="12035" width="12.109375" style="42" customWidth="1"/>
    <col min="12036" max="12036" width="11.5546875" style="42" customWidth="1"/>
    <col min="12037" max="12037" width="12.109375" style="42" customWidth="1"/>
    <col min="12038" max="12038" width="12" style="42" customWidth="1"/>
    <col min="12039" max="12039" width="19.44140625" style="42" customWidth="1"/>
    <col min="12040" max="12040" width="13.88671875" style="42" customWidth="1"/>
    <col min="12041" max="12041" width="11.44140625" style="42" customWidth="1"/>
    <col min="12042" max="12042" width="12.44140625" style="42" customWidth="1"/>
    <col min="12043" max="12043" width="11.5546875" style="42" customWidth="1"/>
    <col min="12044" max="12044" width="9.5546875" style="42" customWidth="1"/>
    <col min="12045" max="12289" width="9.109375" style="42"/>
    <col min="12290" max="12290" width="17.44140625" style="42" customWidth="1"/>
    <col min="12291" max="12291" width="12.109375" style="42" customWidth="1"/>
    <col min="12292" max="12292" width="11.5546875" style="42" customWidth="1"/>
    <col min="12293" max="12293" width="12.109375" style="42" customWidth="1"/>
    <col min="12294" max="12294" width="12" style="42" customWidth="1"/>
    <col min="12295" max="12295" width="19.44140625" style="42" customWidth="1"/>
    <col min="12296" max="12296" width="13.88671875" style="42" customWidth="1"/>
    <col min="12297" max="12297" width="11.44140625" style="42" customWidth="1"/>
    <col min="12298" max="12298" width="12.44140625" style="42" customWidth="1"/>
    <col min="12299" max="12299" width="11.5546875" style="42" customWidth="1"/>
    <col min="12300" max="12300" width="9.5546875" style="42" customWidth="1"/>
    <col min="12301" max="12545" width="9.109375" style="42"/>
    <col min="12546" max="12546" width="17.44140625" style="42" customWidth="1"/>
    <col min="12547" max="12547" width="12.109375" style="42" customWidth="1"/>
    <col min="12548" max="12548" width="11.5546875" style="42" customWidth="1"/>
    <col min="12549" max="12549" width="12.109375" style="42" customWidth="1"/>
    <col min="12550" max="12550" width="12" style="42" customWidth="1"/>
    <col min="12551" max="12551" width="19.44140625" style="42" customWidth="1"/>
    <col min="12552" max="12552" width="13.88671875" style="42" customWidth="1"/>
    <col min="12553" max="12553" width="11.44140625" style="42" customWidth="1"/>
    <col min="12554" max="12554" width="12.44140625" style="42" customWidth="1"/>
    <col min="12555" max="12555" width="11.5546875" style="42" customWidth="1"/>
    <col min="12556" max="12556" width="9.5546875" style="42" customWidth="1"/>
    <col min="12557" max="12801" width="9.109375" style="42"/>
    <col min="12802" max="12802" width="17.44140625" style="42" customWidth="1"/>
    <col min="12803" max="12803" width="12.109375" style="42" customWidth="1"/>
    <col min="12804" max="12804" width="11.5546875" style="42" customWidth="1"/>
    <col min="12805" max="12805" width="12.109375" style="42" customWidth="1"/>
    <col min="12806" max="12806" width="12" style="42" customWidth="1"/>
    <col min="12807" max="12807" width="19.44140625" style="42" customWidth="1"/>
    <col min="12808" max="12808" width="13.88671875" style="42" customWidth="1"/>
    <col min="12809" max="12809" width="11.44140625" style="42" customWidth="1"/>
    <col min="12810" max="12810" width="12.44140625" style="42" customWidth="1"/>
    <col min="12811" max="12811" width="11.5546875" style="42" customWidth="1"/>
    <col min="12812" max="12812" width="9.5546875" style="42" customWidth="1"/>
    <col min="12813" max="13057" width="9.109375" style="42"/>
    <col min="13058" max="13058" width="17.44140625" style="42" customWidth="1"/>
    <col min="13059" max="13059" width="12.109375" style="42" customWidth="1"/>
    <col min="13060" max="13060" width="11.5546875" style="42" customWidth="1"/>
    <col min="13061" max="13061" width="12.109375" style="42" customWidth="1"/>
    <col min="13062" max="13062" width="12" style="42" customWidth="1"/>
    <col min="13063" max="13063" width="19.44140625" style="42" customWidth="1"/>
    <col min="13064" max="13064" width="13.88671875" style="42" customWidth="1"/>
    <col min="13065" max="13065" width="11.44140625" style="42" customWidth="1"/>
    <col min="13066" max="13066" width="12.44140625" style="42" customWidth="1"/>
    <col min="13067" max="13067" width="11.5546875" style="42" customWidth="1"/>
    <col min="13068" max="13068" width="9.5546875" style="42" customWidth="1"/>
    <col min="13069" max="13313" width="9.109375" style="42"/>
    <col min="13314" max="13314" width="17.44140625" style="42" customWidth="1"/>
    <col min="13315" max="13315" width="12.109375" style="42" customWidth="1"/>
    <col min="13316" max="13316" width="11.5546875" style="42" customWidth="1"/>
    <col min="13317" max="13317" width="12.109375" style="42" customWidth="1"/>
    <col min="13318" max="13318" width="12" style="42" customWidth="1"/>
    <col min="13319" max="13319" width="19.44140625" style="42" customWidth="1"/>
    <col min="13320" max="13320" width="13.88671875" style="42" customWidth="1"/>
    <col min="13321" max="13321" width="11.44140625" style="42" customWidth="1"/>
    <col min="13322" max="13322" width="12.44140625" style="42" customWidth="1"/>
    <col min="13323" max="13323" width="11.5546875" style="42" customWidth="1"/>
    <col min="13324" max="13324" width="9.5546875" style="42" customWidth="1"/>
    <col min="13325" max="13569" width="9.109375" style="42"/>
    <col min="13570" max="13570" width="17.44140625" style="42" customWidth="1"/>
    <col min="13571" max="13571" width="12.109375" style="42" customWidth="1"/>
    <col min="13572" max="13572" width="11.5546875" style="42" customWidth="1"/>
    <col min="13573" max="13573" width="12.109375" style="42" customWidth="1"/>
    <col min="13574" max="13574" width="12" style="42" customWidth="1"/>
    <col min="13575" max="13575" width="19.44140625" style="42" customWidth="1"/>
    <col min="13576" max="13576" width="13.88671875" style="42" customWidth="1"/>
    <col min="13577" max="13577" width="11.44140625" style="42" customWidth="1"/>
    <col min="13578" max="13578" width="12.44140625" style="42" customWidth="1"/>
    <col min="13579" max="13579" width="11.5546875" style="42" customWidth="1"/>
    <col min="13580" max="13580" width="9.5546875" style="42" customWidth="1"/>
    <col min="13581" max="13825" width="9.109375" style="42"/>
    <col min="13826" max="13826" width="17.44140625" style="42" customWidth="1"/>
    <col min="13827" max="13827" width="12.109375" style="42" customWidth="1"/>
    <col min="13828" max="13828" width="11.5546875" style="42" customWidth="1"/>
    <col min="13829" max="13829" width="12.109375" style="42" customWidth="1"/>
    <col min="13830" max="13830" width="12" style="42" customWidth="1"/>
    <col min="13831" max="13831" width="19.44140625" style="42" customWidth="1"/>
    <col min="13832" max="13832" width="13.88671875" style="42" customWidth="1"/>
    <col min="13833" max="13833" width="11.44140625" style="42" customWidth="1"/>
    <col min="13834" max="13834" width="12.44140625" style="42" customWidth="1"/>
    <col min="13835" max="13835" width="11.5546875" style="42" customWidth="1"/>
    <col min="13836" max="13836" width="9.5546875" style="42" customWidth="1"/>
    <col min="13837" max="14081" width="9.109375" style="42"/>
    <col min="14082" max="14082" width="17.44140625" style="42" customWidth="1"/>
    <col min="14083" max="14083" width="12.109375" style="42" customWidth="1"/>
    <col min="14084" max="14084" width="11.5546875" style="42" customWidth="1"/>
    <col min="14085" max="14085" width="12.109375" style="42" customWidth="1"/>
    <col min="14086" max="14086" width="12" style="42" customWidth="1"/>
    <col min="14087" max="14087" width="19.44140625" style="42" customWidth="1"/>
    <col min="14088" max="14088" width="13.88671875" style="42" customWidth="1"/>
    <col min="14089" max="14089" width="11.44140625" style="42" customWidth="1"/>
    <col min="14090" max="14090" width="12.44140625" style="42" customWidth="1"/>
    <col min="14091" max="14091" width="11.5546875" style="42" customWidth="1"/>
    <col min="14092" max="14092" width="9.5546875" style="42" customWidth="1"/>
    <col min="14093" max="14337" width="9.109375" style="42"/>
    <col min="14338" max="14338" width="17.44140625" style="42" customWidth="1"/>
    <col min="14339" max="14339" width="12.109375" style="42" customWidth="1"/>
    <col min="14340" max="14340" width="11.5546875" style="42" customWidth="1"/>
    <col min="14341" max="14341" width="12.109375" style="42" customWidth="1"/>
    <col min="14342" max="14342" width="12" style="42" customWidth="1"/>
    <col min="14343" max="14343" width="19.44140625" style="42" customWidth="1"/>
    <col min="14344" max="14344" width="13.88671875" style="42" customWidth="1"/>
    <col min="14345" max="14345" width="11.44140625" style="42" customWidth="1"/>
    <col min="14346" max="14346" width="12.44140625" style="42" customWidth="1"/>
    <col min="14347" max="14347" width="11.5546875" style="42" customWidth="1"/>
    <col min="14348" max="14348" width="9.5546875" style="42" customWidth="1"/>
    <col min="14349" max="14593" width="9.109375" style="42"/>
    <col min="14594" max="14594" width="17.44140625" style="42" customWidth="1"/>
    <col min="14595" max="14595" width="12.109375" style="42" customWidth="1"/>
    <col min="14596" max="14596" width="11.5546875" style="42" customWidth="1"/>
    <col min="14597" max="14597" width="12.109375" style="42" customWidth="1"/>
    <col min="14598" max="14598" width="12" style="42" customWidth="1"/>
    <col min="14599" max="14599" width="19.44140625" style="42" customWidth="1"/>
    <col min="14600" max="14600" width="13.88671875" style="42" customWidth="1"/>
    <col min="14601" max="14601" width="11.44140625" style="42" customWidth="1"/>
    <col min="14602" max="14602" width="12.44140625" style="42" customWidth="1"/>
    <col min="14603" max="14603" width="11.5546875" style="42" customWidth="1"/>
    <col min="14604" max="14604" width="9.5546875" style="42" customWidth="1"/>
    <col min="14605" max="14849" width="9.109375" style="42"/>
    <col min="14850" max="14850" width="17.44140625" style="42" customWidth="1"/>
    <col min="14851" max="14851" width="12.109375" style="42" customWidth="1"/>
    <col min="14852" max="14852" width="11.5546875" style="42" customWidth="1"/>
    <col min="14853" max="14853" width="12.109375" style="42" customWidth="1"/>
    <col min="14854" max="14854" width="12" style="42" customWidth="1"/>
    <col min="14855" max="14855" width="19.44140625" style="42" customWidth="1"/>
    <col min="14856" max="14856" width="13.88671875" style="42" customWidth="1"/>
    <col min="14857" max="14857" width="11.44140625" style="42" customWidth="1"/>
    <col min="14858" max="14858" width="12.44140625" style="42" customWidth="1"/>
    <col min="14859" max="14859" width="11.5546875" style="42" customWidth="1"/>
    <col min="14860" max="14860" width="9.5546875" style="42" customWidth="1"/>
    <col min="14861" max="15105" width="9.109375" style="42"/>
    <col min="15106" max="15106" width="17.44140625" style="42" customWidth="1"/>
    <col min="15107" max="15107" width="12.109375" style="42" customWidth="1"/>
    <col min="15108" max="15108" width="11.5546875" style="42" customWidth="1"/>
    <col min="15109" max="15109" width="12.109375" style="42" customWidth="1"/>
    <col min="15110" max="15110" width="12" style="42" customWidth="1"/>
    <col min="15111" max="15111" width="19.44140625" style="42" customWidth="1"/>
    <col min="15112" max="15112" width="13.88671875" style="42" customWidth="1"/>
    <col min="15113" max="15113" width="11.44140625" style="42" customWidth="1"/>
    <col min="15114" max="15114" width="12.44140625" style="42" customWidth="1"/>
    <col min="15115" max="15115" width="11.5546875" style="42" customWidth="1"/>
    <col min="15116" max="15116" width="9.5546875" style="42" customWidth="1"/>
    <col min="15117" max="15361" width="9.109375" style="42"/>
    <col min="15362" max="15362" width="17.44140625" style="42" customWidth="1"/>
    <col min="15363" max="15363" width="12.109375" style="42" customWidth="1"/>
    <col min="15364" max="15364" width="11.5546875" style="42" customWidth="1"/>
    <col min="15365" max="15365" width="12.109375" style="42" customWidth="1"/>
    <col min="15366" max="15366" width="12" style="42" customWidth="1"/>
    <col min="15367" max="15367" width="19.44140625" style="42" customWidth="1"/>
    <col min="15368" max="15368" width="13.88671875" style="42" customWidth="1"/>
    <col min="15369" max="15369" width="11.44140625" style="42" customWidth="1"/>
    <col min="15370" max="15370" width="12.44140625" style="42" customWidth="1"/>
    <col min="15371" max="15371" width="11.5546875" style="42" customWidth="1"/>
    <col min="15372" max="15372" width="9.5546875" style="42" customWidth="1"/>
    <col min="15373" max="15617" width="9.109375" style="42"/>
    <col min="15618" max="15618" width="17.44140625" style="42" customWidth="1"/>
    <col min="15619" max="15619" width="12.109375" style="42" customWidth="1"/>
    <col min="15620" max="15620" width="11.5546875" style="42" customWidth="1"/>
    <col min="15621" max="15621" width="12.109375" style="42" customWidth="1"/>
    <col min="15622" max="15622" width="12" style="42" customWidth="1"/>
    <col min="15623" max="15623" width="19.44140625" style="42" customWidth="1"/>
    <col min="15624" max="15624" width="13.88671875" style="42" customWidth="1"/>
    <col min="15625" max="15625" width="11.44140625" style="42" customWidth="1"/>
    <col min="15626" max="15626" width="12.44140625" style="42" customWidth="1"/>
    <col min="15627" max="15627" width="11.5546875" style="42" customWidth="1"/>
    <col min="15628" max="15628" width="9.5546875" style="42" customWidth="1"/>
    <col min="15629" max="15873" width="9.109375" style="42"/>
    <col min="15874" max="15874" width="17.44140625" style="42" customWidth="1"/>
    <col min="15875" max="15875" width="12.109375" style="42" customWidth="1"/>
    <col min="15876" max="15876" width="11.5546875" style="42" customWidth="1"/>
    <col min="15877" max="15877" width="12.109375" style="42" customWidth="1"/>
    <col min="15878" max="15878" width="12" style="42" customWidth="1"/>
    <col min="15879" max="15879" width="19.44140625" style="42" customWidth="1"/>
    <col min="15880" max="15880" width="13.88671875" style="42" customWidth="1"/>
    <col min="15881" max="15881" width="11.44140625" style="42" customWidth="1"/>
    <col min="15882" max="15882" width="12.44140625" style="42" customWidth="1"/>
    <col min="15883" max="15883" width="11.5546875" style="42" customWidth="1"/>
    <col min="15884" max="15884" width="9.5546875" style="42" customWidth="1"/>
    <col min="15885" max="16129" width="9.109375" style="42"/>
    <col min="16130" max="16130" width="17.44140625" style="42" customWidth="1"/>
    <col min="16131" max="16131" width="12.109375" style="42" customWidth="1"/>
    <col min="16132" max="16132" width="11.5546875" style="42" customWidth="1"/>
    <col min="16133" max="16133" width="12.109375" style="42" customWidth="1"/>
    <col min="16134" max="16134" width="12" style="42" customWidth="1"/>
    <col min="16135" max="16135" width="19.44140625" style="42" customWidth="1"/>
    <col min="16136" max="16136" width="13.88671875" style="42" customWidth="1"/>
    <col min="16137" max="16137" width="11.44140625" style="42" customWidth="1"/>
    <col min="16138" max="16138" width="12.44140625" style="42" customWidth="1"/>
    <col min="16139" max="16139" width="11.5546875" style="42" customWidth="1"/>
    <col min="16140" max="16140" width="9.5546875" style="42" customWidth="1"/>
    <col min="16141" max="16384" width="9.109375" style="42"/>
  </cols>
  <sheetData>
    <row r="1" spans="1:12">
      <c r="A1" s="135" t="s">
        <v>93</v>
      </c>
      <c r="B1" s="135"/>
      <c r="C1" s="135"/>
      <c r="D1" s="135"/>
      <c r="E1" s="135"/>
      <c r="F1" s="135"/>
      <c r="G1" s="135"/>
      <c r="H1" s="135"/>
      <c r="I1" s="135"/>
      <c r="J1" s="135"/>
      <c r="K1" s="135"/>
    </row>
    <row r="2" spans="1:12">
      <c r="A2" s="46"/>
      <c r="B2" s="136" t="s">
        <v>10</v>
      </c>
      <c r="C2" s="136"/>
      <c r="D2" s="136"/>
      <c r="E2" s="136"/>
      <c r="F2" s="136"/>
      <c r="G2" s="136" t="s">
        <v>11</v>
      </c>
      <c r="H2" s="136"/>
      <c r="I2" s="136"/>
      <c r="J2" s="136"/>
      <c r="K2" s="136"/>
    </row>
    <row r="3" spans="1:12" ht="31.2">
      <c r="A3" s="29"/>
      <c r="B3" s="39" t="s">
        <v>94</v>
      </c>
      <c r="C3" s="40" t="s">
        <v>35</v>
      </c>
      <c r="D3" s="40" t="s">
        <v>25</v>
      </c>
      <c r="E3" s="40" t="s">
        <v>33</v>
      </c>
      <c r="F3" s="40" t="s">
        <v>37</v>
      </c>
      <c r="G3" s="39" t="s">
        <v>94</v>
      </c>
      <c r="H3" s="40" t="s">
        <v>35</v>
      </c>
      <c r="I3" s="40" t="s">
        <v>25</v>
      </c>
      <c r="J3" s="40" t="s">
        <v>33</v>
      </c>
      <c r="K3" s="40" t="s">
        <v>37</v>
      </c>
    </row>
    <row r="4" spans="1:12">
      <c r="A4" s="29">
        <v>45</v>
      </c>
      <c r="B4" s="47">
        <v>0</v>
      </c>
      <c r="C4" s="36">
        <v>1.9</v>
      </c>
      <c r="D4" s="36">
        <v>2</v>
      </c>
      <c r="E4" s="36">
        <v>3</v>
      </c>
      <c r="F4" s="36">
        <v>3.3</v>
      </c>
      <c r="G4" s="47">
        <v>0</v>
      </c>
      <c r="H4" s="36">
        <v>1.9</v>
      </c>
      <c r="I4" s="36">
        <v>2.1</v>
      </c>
      <c r="J4" s="36">
        <v>3</v>
      </c>
      <c r="K4" s="36">
        <v>3.3</v>
      </c>
      <c r="L4" s="44"/>
    </row>
    <row r="5" spans="1:12">
      <c r="A5" s="29">
        <v>45.5</v>
      </c>
      <c r="B5" s="47">
        <v>0</v>
      </c>
      <c r="C5" s="36">
        <v>1.9</v>
      </c>
      <c r="D5" s="36">
        <v>2.1</v>
      </c>
      <c r="E5" s="36">
        <v>3.1</v>
      </c>
      <c r="F5" s="36">
        <v>3.4</v>
      </c>
      <c r="G5" s="47">
        <v>0</v>
      </c>
      <c r="H5" s="36">
        <v>2</v>
      </c>
      <c r="I5" s="36">
        <v>2.1</v>
      </c>
      <c r="J5" s="36">
        <v>3.1</v>
      </c>
      <c r="K5" s="36">
        <v>3.4</v>
      </c>
      <c r="L5" s="44"/>
    </row>
    <row r="6" spans="1:12">
      <c r="A6" s="29">
        <v>46</v>
      </c>
      <c r="B6" s="47">
        <v>0</v>
      </c>
      <c r="C6" s="36">
        <v>2</v>
      </c>
      <c r="D6" s="36">
        <v>2.2000000000000002</v>
      </c>
      <c r="E6" s="36">
        <v>3.1</v>
      </c>
      <c r="F6" s="36">
        <v>3.5</v>
      </c>
      <c r="G6" s="47">
        <v>0</v>
      </c>
      <c r="H6" s="36">
        <v>2</v>
      </c>
      <c r="I6" s="36">
        <v>2.2000000000000002</v>
      </c>
      <c r="J6" s="36">
        <v>3.2</v>
      </c>
      <c r="K6" s="36">
        <v>3.5</v>
      </c>
      <c r="L6" s="44"/>
    </row>
    <row r="7" spans="1:12">
      <c r="A7" s="29">
        <v>46.5</v>
      </c>
      <c r="B7" s="47">
        <v>0</v>
      </c>
      <c r="C7" s="36">
        <v>2.1</v>
      </c>
      <c r="D7" s="36">
        <v>2.2999999999999998</v>
      </c>
      <c r="E7" s="36">
        <v>3.2</v>
      </c>
      <c r="F7" s="36">
        <v>3.6</v>
      </c>
      <c r="G7" s="47">
        <v>0</v>
      </c>
      <c r="H7" s="36">
        <v>2.1</v>
      </c>
      <c r="I7" s="36">
        <v>2.2999999999999998</v>
      </c>
      <c r="J7" s="36">
        <v>3.3</v>
      </c>
      <c r="K7" s="36">
        <v>3.6</v>
      </c>
      <c r="L7" s="44"/>
    </row>
    <row r="8" spans="1:12">
      <c r="A8" s="29">
        <v>47</v>
      </c>
      <c r="B8" s="47">
        <v>0</v>
      </c>
      <c r="C8" s="36">
        <v>2.1</v>
      </c>
      <c r="D8" s="36">
        <v>2.2999999999999998</v>
      </c>
      <c r="E8" s="36">
        <v>3.3</v>
      </c>
      <c r="F8" s="36">
        <v>3.7</v>
      </c>
      <c r="G8" s="47">
        <v>0</v>
      </c>
      <c r="H8" s="36">
        <v>2.2000000000000002</v>
      </c>
      <c r="I8" s="36">
        <v>2.4</v>
      </c>
      <c r="J8" s="36">
        <v>3.4</v>
      </c>
      <c r="K8" s="36">
        <v>3.7</v>
      </c>
      <c r="L8" s="44"/>
    </row>
    <row r="9" spans="1:12">
      <c r="A9" s="29">
        <v>47.5</v>
      </c>
      <c r="B9" s="47">
        <v>0</v>
      </c>
      <c r="C9" s="36">
        <v>2.2000000000000002</v>
      </c>
      <c r="D9" s="36">
        <v>2.4</v>
      </c>
      <c r="E9" s="36">
        <v>3.4</v>
      </c>
      <c r="F9" s="36">
        <v>3.8</v>
      </c>
      <c r="G9" s="47">
        <v>0</v>
      </c>
      <c r="H9" s="36">
        <v>2.2000000000000002</v>
      </c>
      <c r="I9" s="36">
        <v>2.4</v>
      </c>
      <c r="J9" s="36">
        <v>3.5</v>
      </c>
      <c r="K9" s="36">
        <v>3.8</v>
      </c>
      <c r="L9" s="44"/>
    </row>
    <row r="10" spans="1:12">
      <c r="A10" s="29">
        <v>48</v>
      </c>
      <c r="B10" s="47">
        <v>0</v>
      </c>
      <c r="C10" s="36">
        <v>2.2999999999999998</v>
      </c>
      <c r="D10" s="36">
        <v>2.5</v>
      </c>
      <c r="E10" s="36">
        <v>3.6</v>
      </c>
      <c r="F10" s="36">
        <v>3.9</v>
      </c>
      <c r="G10" s="47">
        <v>0</v>
      </c>
      <c r="H10" s="36">
        <v>2.2999999999999998</v>
      </c>
      <c r="I10" s="36">
        <v>2.5</v>
      </c>
      <c r="J10" s="36">
        <v>3.6</v>
      </c>
      <c r="K10" s="36">
        <v>4</v>
      </c>
      <c r="L10" s="44"/>
    </row>
    <row r="11" spans="1:12">
      <c r="A11" s="29">
        <v>48.5</v>
      </c>
      <c r="B11" s="47">
        <v>0</v>
      </c>
      <c r="C11" s="36">
        <v>2.2999999999999998</v>
      </c>
      <c r="D11" s="36">
        <v>2.6</v>
      </c>
      <c r="E11" s="36">
        <v>3.7</v>
      </c>
      <c r="F11" s="36">
        <v>4</v>
      </c>
      <c r="G11" s="47">
        <v>0</v>
      </c>
      <c r="H11" s="36">
        <v>2.4</v>
      </c>
      <c r="I11" s="36">
        <v>2.6</v>
      </c>
      <c r="J11" s="36">
        <v>3.7</v>
      </c>
      <c r="K11" s="36">
        <v>4.0999999999999996</v>
      </c>
      <c r="L11" s="44"/>
    </row>
    <row r="12" spans="1:12">
      <c r="A12" s="29">
        <v>49</v>
      </c>
      <c r="B12" s="47">
        <v>0</v>
      </c>
      <c r="C12" s="36">
        <v>2.4</v>
      </c>
      <c r="D12" s="36">
        <v>2.6</v>
      </c>
      <c r="E12" s="36">
        <v>3.8</v>
      </c>
      <c r="F12" s="36">
        <v>4.2</v>
      </c>
      <c r="G12" s="47">
        <v>0</v>
      </c>
      <c r="H12" s="36">
        <v>2.4</v>
      </c>
      <c r="I12" s="36">
        <v>2.6</v>
      </c>
      <c r="J12" s="36">
        <v>3.8</v>
      </c>
      <c r="K12" s="36">
        <v>4.2</v>
      </c>
      <c r="L12" s="44"/>
    </row>
    <row r="13" spans="1:12">
      <c r="A13" s="29">
        <v>49.5</v>
      </c>
      <c r="B13" s="47">
        <v>0</v>
      </c>
      <c r="C13" s="36">
        <v>2.5</v>
      </c>
      <c r="D13" s="36">
        <v>2.7</v>
      </c>
      <c r="E13" s="36">
        <v>3.9</v>
      </c>
      <c r="F13" s="36">
        <v>4.3</v>
      </c>
      <c r="G13" s="47">
        <v>0</v>
      </c>
      <c r="H13" s="36">
        <v>2.5</v>
      </c>
      <c r="I13" s="36">
        <v>2.7</v>
      </c>
      <c r="J13" s="36">
        <v>3.9</v>
      </c>
      <c r="K13" s="36">
        <v>4.3</v>
      </c>
      <c r="L13" s="44"/>
    </row>
    <row r="14" spans="1:12">
      <c r="A14" s="29">
        <v>50</v>
      </c>
      <c r="B14" s="47">
        <v>0</v>
      </c>
      <c r="C14" s="36">
        <v>2.6</v>
      </c>
      <c r="D14" s="36">
        <v>2.8</v>
      </c>
      <c r="E14" s="36">
        <v>4</v>
      </c>
      <c r="F14" s="36">
        <v>4.4000000000000004</v>
      </c>
      <c r="G14" s="47">
        <v>0</v>
      </c>
      <c r="H14" s="36">
        <v>2.6</v>
      </c>
      <c r="I14" s="36">
        <v>2.8</v>
      </c>
      <c r="J14" s="36">
        <v>4</v>
      </c>
      <c r="K14" s="36">
        <v>4.5</v>
      </c>
      <c r="L14" s="44"/>
    </row>
    <row r="15" spans="1:12">
      <c r="A15" s="29">
        <v>50.5</v>
      </c>
      <c r="B15" s="47">
        <v>0</v>
      </c>
      <c r="C15" s="36">
        <v>2.7</v>
      </c>
      <c r="D15" s="36">
        <v>2.9</v>
      </c>
      <c r="E15" s="36">
        <v>4.0999999999999996</v>
      </c>
      <c r="F15" s="36">
        <v>4.5</v>
      </c>
      <c r="G15" s="47">
        <v>0</v>
      </c>
      <c r="H15" s="36">
        <v>2.7</v>
      </c>
      <c r="I15" s="36">
        <v>2.9</v>
      </c>
      <c r="J15" s="36">
        <v>4.2</v>
      </c>
      <c r="K15" s="36">
        <v>4.5999999999999996</v>
      </c>
      <c r="L15" s="44"/>
    </row>
    <row r="16" spans="1:12">
      <c r="A16" s="29">
        <v>51</v>
      </c>
      <c r="B16" s="47">
        <v>0</v>
      </c>
      <c r="C16" s="36">
        <v>2.7</v>
      </c>
      <c r="D16" s="36">
        <v>3</v>
      </c>
      <c r="E16" s="36">
        <v>4.2</v>
      </c>
      <c r="F16" s="36">
        <v>4.7</v>
      </c>
      <c r="G16" s="47">
        <v>0</v>
      </c>
      <c r="H16" s="36">
        <v>2.8</v>
      </c>
      <c r="I16" s="36">
        <v>3</v>
      </c>
      <c r="J16" s="36">
        <v>4.3</v>
      </c>
      <c r="K16" s="36">
        <v>4.8</v>
      </c>
      <c r="L16" s="44"/>
    </row>
    <row r="17" spans="1:12">
      <c r="A17" s="29">
        <v>51.5</v>
      </c>
      <c r="B17" s="47">
        <v>0</v>
      </c>
      <c r="C17" s="36">
        <v>2.8</v>
      </c>
      <c r="D17" s="36">
        <v>3.1</v>
      </c>
      <c r="E17" s="36">
        <v>4.4000000000000004</v>
      </c>
      <c r="F17" s="36">
        <v>4.8</v>
      </c>
      <c r="G17" s="47">
        <v>0</v>
      </c>
      <c r="H17" s="36">
        <v>2.8</v>
      </c>
      <c r="I17" s="36">
        <v>3.1</v>
      </c>
      <c r="J17" s="36">
        <v>4.4000000000000004</v>
      </c>
      <c r="K17" s="36">
        <v>4.9000000000000004</v>
      </c>
      <c r="L17" s="44"/>
    </row>
    <row r="18" spans="1:12">
      <c r="A18" s="29">
        <v>52</v>
      </c>
      <c r="B18" s="47">
        <v>0</v>
      </c>
      <c r="C18" s="36">
        <v>2.9</v>
      </c>
      <c r="D18" s="36">
        <v>3.2</v>
      </c>
      <c r="E18" s="36">
        <v>4.5</v>
      </c>
      <c r="F18" s="36">
        <v>5</v>
      </c>
      <c r="G18" s="47">
        <v>0</v>
      </c>
      <c r="H18" s="36">
        <v>2.9</v>
      </c>
      <c r="I18" s="36">
        <v>3.2</v>
      </c>
      <c r="J18" s="36">
        <v>4.5999999999999996</v>
      </c>
      <c r="K18" s="36">
        <v>5.0999999999999996</v>
      </c>
      <c r="L18" s="44"/>
    </row>
    <row r="19" spans="1:12">
      <c r="A19" s="29">
        <v>52.5</v>
      </c>
      <c r="B19" s="47">
        <v>0</v>
      </c>
      <c r="C19" s="36">
        <v>3</v>
      </c>
      <c r="D19" s="36">
        <v>3.3</v>
      </c>
      <c r="E19" s="36">
        <v>4.5999999999999996</v>
      </c>
      <c r="F19" s="36">
        <v>5.0999999999999996</v>
      </c>
      <c r="G19" s="47">
        <v>0</v>
      </c>
      <c r="H19" s="36">
        <v>3</v>
      </c>
      <c r="I19" s="36">
        <v>3.3</v>
      </c>
      <c r="J19" s="36">
        <v>4.7</v>
      </c>
      <c r="K19" s="36">
        <v>5.2</v>
      </c>
      <c r="L19" s="44"/>
    </row>
    <row r="20" spans="1:12">
      <c r="A20" s="29">
        <v>53</v>
      </c>
      <c r="B20" s="47">
        <v>0</v>
      </c>
      <c r="C20" s="36">
        <v>3.1</v>
      </c>
      <c r="D20" s="36">
        <v>3.4</v>
      </c>
      <c r="E20" s="36">
        <v>4.8</v>
      </c>
      <c r="F20" s="36">
        <v>5.3</v>
      </c>
      <c r="G20" s="47">
        <v>0</v>
      </c>
      <c r="H20" s="36">
        <v>3.1</v>
      </c>
      <c r="I20" s="36">
        <v>3.4</v>
      </c>
      <c r="J20" s="36">
        <v>4.9000000000000004</v>
      </c>
      <c r="K20" s="36">
        <v>5.4</v>
      </c>
      <c r="L20" s="44"/>
    </row>
    <row r="21" spans="1:12">
      <c r="A21" s="29">
        <v>53.5</v>
      </c>
      <c r="B21" s="47">
        <v>0</v>
      </c>
      <c r="C21" s="36">
        <v>3.2</v>
      </c>
      <c r="D21" s="36">
        <v>3.5</v>
      </c>
      <c r="E21" s="36">
        <v>4.9000000000000004</v>
      </c>
      <c r="F21" s="36">
        <v>5.4</v>
      </c>
      <c r="G21" s="47">
        <v>0</v>
      </c>
      <c r="H21" s="36">
        <v>3.2</v>
      </c>
      <c r="I21" s="36">
        <v>3.5</v>
      </c>
      <c r="J21" s="36">
        <v>5</v>
      </c>
      <c r="K21" s="36">
        <v>5.5</v>
      </c>
      <c r="L21" s="44"/>
    </row>
    <row r="22" spans="1:12">
      <c r="A22" s="29">
        <v>54</v>
      </c>
      <c r="B22" s="47">
        <v>0</v>
      </c>
      <c r="C22" s="36">
        <v>3.3</v>
      </c>
      <c r="D22" s="36">
        <v>3.6</v>
      </c>
      <c r="E22" s="36">
        <v>5.0999999999999996</v>
      </c>
      <c r="F22" s="36">
        <v>5.6</v>
      </c>
      <c r="G22" s="47">
        <v>0</v>
      </c>
      <c r="H22" s="36">
        <v>3.3</v>
      </c>
      <c r="I22" s="36">
        <v>3.6</v>
      </c>
      <c r="J22" s="36">
        <v>5.2</v>
      </c>
      <c r="K22" s="36">
        <v>5.7</v>
      </c>
      <c r="L22" s="44"/>
    </row>
    <row r="23" spans="1:12">
      <c r="A23" s="29">
        <v>54.5</v>
      </c>
      <c r="B23" s="47">
        <v>0</v>
      </c>
      <c r="C23" s="36">
        <v>3.4</v>
      </c>
      <c r="D23" s="36">
        <v>3.7</v>
      </c>
      <c r="E23" s="36">
        <v>5.3</v>
      </c>
      <c r="F23" s="36">
        <v>5.8</v>
      </c>
      <c r="G23" s="47">
        <v>0</v>
      </c>
      <c r="H23" s="36">
        <v>3.4</v>
      </c>
      <c r="I23" s="36">
        <v>3.7</v>
      </c>
      <c r="J23" s="36">
        <v>5.3</v>
      </c>
      <c r="K23" s="36">
        <v>5.9</v>
      </c>
      <c r="L23" s="44"/>
    </row>
    <row r="24" spans="1:12">
      <c r="A24" s="29">
        <v>55</v>
      </c>
      <c r="B24" s="47">
        <v>0</v>
      </c>
      <c r="C24" s="36">
        <v>3.6</v>
      </c>
      <c r="D24" s="36">
        <v>3.8</v>
      </c>
      <c r="E24" s="36">
        <v>5.4</v>
      </c>
      <c r="F24" s="36">
        <v>6</v>
      </c>
      <c r="G24" s="47">
        <v>0</v>
      </c>
      <c r="H24" s="36">
        <v>3.5</v>
      </c>
      <c r="I24" s="36">
        <v>3.8</v>
      </c>
      <c r="J24" s="36">
        <v>5.5</v>
      </c>
      <c r="K24" s="36">
        <v>6.1</v>
      </c>
      <c r="L24" s="44"/>
    </row>
    <row r="25" spans="1:12">
      <c r="A25" s="29">
        <v>55.5</v>
      </c>
      <c r="B25" s="47">
        <v>0</v>
      </c>
      <c r="C25" s="36">
        <v>3.7</v>
      </c>
      <c r="D25" s="36">
        <v>4</v>
      </c>
      <c r="E25" s="36">
        <v>5.6</v>
      </c>
      <c r="F25" s="36">
        <v>6.1</v>
      </c>
      <c r="G25" s="47">
        <v>0</v>
      </c>
      <c r="H25" s="36">
        <v>3.6</v>
      </c>
      <c r="I25" s="36">
        <v>3.9</v>
      </c>
      <c r="J25" s="36">
        <v>5.7</v>
      </c>
      <c r="K25" s="36">
        <v>6.3</v>
      </c>
      <c r="L25" s="44"/>
    </row>
    <row r="26" spans="1:12">
      <c r="A26" s="29">
        <v>56</v>
      </c>
      <c r="B26" s="47">
        <v>0</v>
      </c>
      <c r="C26" s="36">
        <v>3.8</v>
      </c>
      <c r="D26" s="36">
        <v>4.0999999999999996</v>
      </c>
      <c r="E26" s="36">
        <v>5.8</v>
      </c>
      <c r="F26" s="36">
        <v>6.3</v>
      </c>
      <c r="G26" s="47">
        <v>0</v>
      </c>
      <c r="H26" s="36">
        <v>3.7</v>
      </c>
      <c r="I26" s="36">
        <v>4</v>
      </c>
      <c r="J26" s="36">
        <v>5.8</v>
      </c>
      <c r="K26" s="36">
        <v>6.4</v>
      </c>
      <c r="L26" s="44"/>
    </row>
    <row r="27" spans="1:12">
      <c r="A27" s="29">
        <v>56.5</v>
      </c>
      <c r="B27" s="47">
        <v>0</v>
      </c>
      <c r="C27" s="36">
        <v>3.9</v>
      </c>
      <c r="D27" s="36">
        <v>4.2</v>
      </c>
      <c r="E27" s="36">
        <v>5.9</v>
      </c>
      <c r="F27" s="36">
        <v>6.5</v>
      </c>
      <c r="G27" s="47">
        <v>0</v>
      </c>
      <c r="H27" s="36">
        <v>3.8</v>
      </c>
      <c r="I27" s="36">
        <v>4.0999999999999996</v>
      </c>
      <c r="J27" s="36">
        <v>6</v>
      </c>
      <c r="K27" s="36">
        <v>6.6</v>
      </c>
      <c r="L27" s="44"/>
    </row>
    <row r="28" spans="1:12">
      <c r="A28" s="29">
        <v>57</v>
      </c>
      <c r="B28" s="47">
        <v>0</v>
      </c>
      <c r="C28" s="36">
        <v>4</v>
      </c>
      <c r="D28" s="36">
        <v>4.3</v>
      </c>
      <c r="E28" s="36">
        <v>6.1</v>
      </c>
      <c r="F28" s="36">
        <v>6.7</v>
      </c>
      <c r="G28" s="47">
        <v>0</v>
      </c>
      <c r="H28" s="36">
        <v>3.9</v>
      </c>
      <c r="I28" s="36">
        <v>4.3</v>
      </c>
      <c r="J28" s="36">
        <v>6.1</v>
      </c>
      <c r="K28" s="36">
        <v>6.8</v>
      </c>
      <c r="L28" s="44"/>
    </row>
    <row r="29" spans="1:12">
      <c r="A29" s="29">
        <v>57.5</v>
      </c>
      <c r="B29" s="47">
        <v>0</v>
      </c>
      <c r="C29" s="36">
        <v>4.0999999999999996</v>
      </c>
      <c r="D29" s="36">
        <v>4.5</v>
      </c>
      <c r="E29" s="36">
        <v>6.3</v>
      </c>
      <c r="F29" s="36">
        <v>6.9</v>
      </c>
      <c r="G29" s="47">
        <v>0</v>
      </c>
      <c r="H29" s="36">
        <v>4</v>
      </c>
      <c r="I29" s="36">
        <v>4.4000000000000004</v>
      </c>
      <c r="J29" s="36">
        <v>6.3</v>
      </c>
      <c r="K29" s="36">
        <v>7</v>
      </c>
      <c r="L29" s="44"/>
    </row>
    <row r="30" spans="1:12">
      <c r="A30" s="29">
        <v>58</v>
      </c>
      <c r="B30" s="47">
        <v>0</v>
      </c>
      <c r="C30" s="36">
        <v>4.3</v>
      </c>
      <c r="D30" s="36">
        <v>4.5999999999999996</v>
      </c>
      <c r="E30" s="36">
        <v>6.4</v>
      </c>
      <c r="F30" s="36">
        <v>7.1</v>
      </c>
      <c r="G30" s="47">
        <v>0</v>
      </c>
      <c r="H30" s="36">
        <v>4.0999999999999996</v>
      </c>
      <c r="I30" s="36">
        <v>4.5</v>
      </c>
      <c r="J30" s="36">
        <v>6.5</v>
      </c>
      <c r="K30" s="36">
        <v>7.1</v>
      </c>
      <c r="L30" s="44"/>
    </row>
    <row r="31" spans="1:12">
      <c r="A31" s="29">
        <v>58.5</v>
      </c>
      <c r="B31" s="47">
        <v>0</v>
      </c>
      <c r="C31" s="36">
        <v>4.4000000000000004</v>
      </c>
      <c r="D31" s="36">
        <v>4.7</v>
      </c>
      <c r="E31" s="36">
        <v>6.6</v>
      </c>
      <c r="F31" s="36">
        <v>7.2</v>
      </c>
      <c r="G31" s="47">
        <v>0</v>
      </c>
      <c r="H31" s="36">
        <v>4.2</v>
      </c>
      <c r="I31" s="36">
        <v>4.5999999999999996</v>
      </c>
      <c r="J31" s="36">
        <v>6.6</v>
      </c>
      <c r="K31" s="36">
        <v>7.3</v>
      </c>
      <c r="L31" s="44"/>
    </row>
    <row r="32" spans="1:12">
      <c r="A32" s="29">
        <v>59</v>
      </c>
      <c r="B32" s="47">
        <v>0</v>
      </c>
      <c r="C32" s="36">
        <v>4.5</v>
      </c>
      <c r="D32" s="36">
        <v>4.8</v>
      </c>
      <c r="E32" s="36">
        <v>6.8</v>
      </c>
      <c r="F32" s="36">
        <v>7.4</v>
      </c>
      <c r="G32" s="47">
        <v>0</v>
      </c>
      <c r="H32" s="36">
        <v>4.3</v>
      </c>
      <c r="I32" s="36">
        <v>4.7</v>
      </c>
      <c r="J32" s="36">
        <v>6.8</v>
      </c>
      <c r="K32" s="36">
        <v>7.5</v>
      </c>
      <c r="L32" s="44"/>
    </row>
    <row r="33" spans="1:12">
      <c r="A33" s="29">
        <v>59.5</v>
      </c>
      <c r="B33" s="47">
        <v>0</v>
      </c>
      <c r="C33" s="36">
        <v>4.5999999999999996</v>
      </c>
      <c r="D33" s="36">
        <v>5</v>
      </c>
      <c r="E33" s="36">
        <v>7</v>
      </c>
      <c r="F33" s="36">
        <v>7.6</v>
      </c>
      <c r="G33" s="47">
        <v>0</v>
      </c>
      <c r="H33" s="36">
        <v>4.4000000000000004</v>
      </c>
      <c r="I33" s="36">
        <v>4.8</v>
      </c>
      <c r="J33" s="36">
        <v>6.9</v>
      </c>
      <c r="K33" s="36">
        <v>7.7</v>
      </c>
      <c r="L33" s="44"/>
    </row>
    <row r="34" spans="1:12">
      <c r="A34" s="29">
        <v>60</v>
      </c>
      <c r="B34" s="47">
        <v>0</v>
      </c>
      <c r="C34" s="36">
        <v>4.7</v>
      </c>
      <c r="D34" s="36">
        <v>5.0999999999999996</v>
      </c>
      <c r="E34" s="36">
        <v>7.1</v>
      </c>
      <c r="F34" s="36">
        <v>7.8</v>
      </c>
      <c r="G34" s="47">
        <v>0</v>
      </c>
      <c r="H34" s="36">
        <v>4.5</v>
      </c>
      <c r="I34" s="36">
        <v>4.9000000000000004</v>
      </c>
      <c r="J34" s="36">
        <v>7.1</v>
      </c>
      <c r="K34" s="36">
        <v>7.8</v>
      </c>
      <c r="L34" s="44"/>
    </row>
    <row r="35" spans="1:12">
      <c r="A35" s="29">
        <v>60.5</v>
      </c>
      <c r="B35" s="47">
        <v>0</v>
      </c>
      <c r="C35" s="36">
        <v>4.8</v>
      </c>
      <c r="D35" s="36">
        <v>5.2</v>
      </c>
      <c r="E35" s="36">
        <v>7.3</v>
      </c>
      <c r="F35" s="36">
        <v>8</v>
      </c>
      <c r="G35" s="47">
        <v>0</v>
      </c>
      <c r="H35" s="36">
        <v>4.5999999999999996</v>
      </c>
      <c r="I35" s="36">
        <v>5</v>
      </c>
      <c r="J35" s="36">
        <v>7.3</v>
      </c>
      <c r="K35" s="36">
        <v>8</v>
      </c>
      <c r="L35" s="44"/>
    </row>
    <row r="36" spans="1:12">
      <c r="A36" s="29">
        <v>61</v>
      </c>
      <c r="B36" s="47">
        <v>0</v>
      </c>
      <c r="C36" s="36">
        <v>4.9000000000000004</v>
      </c>
      <c r="D36" s="36">
        <v>5.3</v>
      </c>
      <c r="E36" s="36">
        <v>7.4</v>
      </c>
      <c r="F36" s="36">
        <v>8.1</v>
      </c>
      <c r="G36" s="47">
        <v>0</v>
      </c>
      <c r="H36" s="36">
        <v>4.7</v>
      </c>
      <c r="I36" s="36">
        <v>5.0999999999999996</v>
      </c>
      <c r="J36" s="36">
        <v>7.4</v>
      </c>
      <c r="K36" s="36">
        <v>8.1999999999999993</v>
      </c>
      <c r="L36" s="44"/>
    </row>
    <row r="37" spans="1:12">
      <c r="A37" s="29">
        <v>61.5</v>
      </c>
      <c r="B37" s="47">
        <v>0</v>
      </c>
      <c r="C37" s="36">
        <v>5</v>
      </c>
      <c r="D37" s="36">
        <v>5.4</v>
      </c>
      <c r="E37" s="36">
        <v>7.6</v>
      </c>
      <c r="F37" s="36">
        <v>8.3000000000000007</v>
      </c>
      <c r="G37" s="47">
        <v>0</v>
      </c>
      <c r="H37" s="36">
        <v>4.8</v>
      </c>
      <c r="I37" s="36">
        <v>5.2</v>
      </c>
      <c r="J37" s="36">
        <v>7.6</v>
      </c>
      <c r="K37" s="36">
        <v>8.4</v>
      </c>
      <c r="L37" s="44"/>
    </row>
    <row r="38" spans="1:12">
      <c r="A38" s="29">
        <v>62</v>
      </c>
      <c r="B38" s="47">
        <v>0</v>
      </c>
      <c r="C38" s="36">
        <v>5.0999999999999996</v>
      </c>
      <c r="D38" s="36">
        <v>5.6</v>
      </c>
      <c r="E38" s="36">
        <v>7.7</v>
      </c>
      <c r="F38" s="36">
        <v>8.5</v>
      </c>
      <c r="G38" s="47">
        <v>0</v>
      </c>
      <c r="H38" s="36">
        <v>4.9000000000000004</v>
      </c>
      <c r="I38" s="36">
        <v>5.3</v>
      </c>
      <c r="J38" s="36">
        <v>7.7</v>
      </c>
      <c r="K38" s="36">
        <v>8.5</v>
      </c>
      <c r="L38" s="44"/>
    </row>
    <row r="39" spans="1:12">
      <c r="A39" s="29">
        <v>62.5</v>
      </c>
      <c r="B39" s="47">
        <v>0</v>
      </c>
      <c r="C39" s="36">
        <v>5.2</v>
      </c>
      <c r="D39" s="36">
        <v>5.7</v>
      </c>
      <c r="E39" s="36">
        <v>7.9</v>
      </c>
      <c r="F39" s="36">
        <v>8.6</v>
      </c>
      <c r="G39" s="47">
        <v>0</v>
      </c>
      <c r="H39" s="36">
        <v>5</v>
      </c>
      <c r="I39" s="36">
        <v>5.4</v>
      </c>
      <c r="J39" s="36">
        <v>7.8</v>
      </c>
      <c r="K39" s="36">
        <v>8.6999999999999993</v>
      </c>
      <c r="L39" s="44"/>
    </row>
    <row r="40" spans="1:12">
      <c r="A40" s="29">
        <v>63</v>
      </c>
      <c r="B40" s="47">
        <v>0</v>
      </c>
      <c r="C40" s="36">
        <v>5.3</v>
      </c>
      <c r="D40" s="36">
        <v>5.8</v>
      </c>
      <c r="E40" s="36">
        <v>8</v>
      </c>
      <c r="F40" s="36">
        <v>8.8000000000000007</v>
      </c>
      <c r="G40" s="47">
        <v>0</v>
      </c>
      <c r="H40" s="36">
        <v>5.0999999999999996</v>
      </c>
      <c r="I40" s="36">
        <v>5.5</v>
      </c>
      <c r="J40" s="36">
        <v>8</v>
      </c>
      <c r="K40" s="36">
        <v>8.8000000000000007</v>
      </c>
      <c r="L40" s="44"/>
    </row>
    <row r="41" spans="1:12">
      <c r="A41" s="29">
        <v>63.5</v>
      </c>
      <c r="B41" s="47">
        <v>0</v>
      </c>
      <c r="C41" s="36">
        <v>5.4</v>
      </c>
      <c r="D41" s="36">
        <v>5.9</v>
      </c>
      <c r="E41" s="36">
        <v>8.1999999999999993</v>
      </c>
      <c r="F41" s="36">
        <v>8.9</v>
      </c>
      <c r="G41" s="47">
        <v>0</v>
      </c>
      <c r="H41" s="36">
        <v>5.2</v>
      </c>
      <c r="I41" s="36">
        <v>5.6</v>
      </c>
      <c r="J41" s="36">
        <v>8.1</v>
      </c>
      <c r="K41" s="36">
        <v>9</v>
      </c>
      <c r="L41" s="44"/>
    </row>
    <row r="42" spans="1:12">
      <c r="A42" s="29">
        <v>64</v>
      </c>
      <c r="B42" s="47">
        <v>0</v>
      </c>
      <c r="C42" s="36">
        <v>5.5</v>
      </c>
      <c r="D42" s="36">
        <v>6</v>
      </c>
      <c r="E42" s="36">
        <v>8.3000000000000007</v>
      </c>
      <c r="F42" s="36">
        <v>9.1</v>
      </c>
      <c r="G42" s="47">
        <v>0</v>
      </c>
      <c r="H42" s="36">
        <v>5.3</v>
      </c>
      <c r="I42" s="36">
        <v>5.7</v>
      </c>
      <c r="J42" s="36">
        <v>8.3000000000000007</v>
      </c>
      <c r="K42" s="36">
        <v>9.1</v>
      </c>
      <c r="L42" s="44"/>
    </row>
    <row r="43" spans="1:12">
      <c r="A43" s="29">
        <v>64.5</v>
      </c>
      <c r="B43" s="47">
        <v>0</v>
      </c>
      <c r="C43" s="36">
        <v>5.6</v>
      </c>
      <c r="D43" s="36">
        <v>6.1</v>
      </c>
      <c r="E43" s="36">
        <v>8.5</v>
      </c>
      <c r="F43" s="36">
        <v>9.3000000000000007</v>
      </c>
      <c r="G43" s="47">
        <v>0</v>
      </c>
      <c r="H43" s="36">
        <v>5.4</v>
      </c>
      <c r="I43" s="36">
        <v>5.8</v>
      </c>
      <c r="J43" s="36">
        <v>8.4</v>
      </c>
      <c r="K43" s="36">
        <v>9.3000000000000007</v>
      </c>
      <c r="L43" s="44"/>
    </row>
    <row r="44" spans="1:12">
      <c r="A44" s="29">
        <v>65</v>
      </c>
      <c r="B44" s="47">
        <v>0</v>
      </c>
      <c r="C44" s="36">
        <v>5.7</v>
      </c>
      <c r="D44" s="36">
        <v>6.2</v>
      </c>
      <c r="E44" s="36">
        <v>8.6</v>
      </c>
      <c r="F44" s="36">
        <v>9.4</v>
      </c>
      <c r="G44" s="47">
        <v>0</v>
      </c>
      <c r="H44" s="36">
        <v>5.5</v>
      </c>
      <c r="I44" s="36">
        <v>5.9</v>
      </c>
      <c r="J44" s="36">
        <v>8.6</v>
      </c>
      <c r="K44" s="36">
        <v>9.5</v>
      </c>
      <c r="L44" s="44"/>
    </row>
    <row r="45" spans="1:12">
      <c r="A45" s="29">
        <v>65.5</v>
      </c>
      <c r="B45" s="47">
        <v>0</v>
      </c>
      <c r="C45" s="36">
        <v>5.8</v>
      </c>
      <c r="D45" s="36">
        <v>6.3</v>
      </c>
      <c r="E45" s="36">
        <v>8.6999999999999993</v>
      </c>
      <c r="F45" s="36">
        <v>9.6</v>
      </c>
      <c r="G45" s="47">
        <v>0</v>
      </c>
      <c r="H45" s="36">
        <v>5.5</v>
      </c>
      <c r="I45" s="36">
        <v>6</v>
      </c>
      <c r="J45" s="36">
        <v>8.6999999999999993</v>
      </c>
      <c r="K45" s="36">
        <v>9.6</v>
      </c>
      <c r="L45" s="44"/>
    </row>
    <row r="46" spans="1:12">
      <c r="A46" s="29">
        <v>66</v>
      </c>
      <c r="B46" s="47">
        <v>0</v>
      </c>
      <c r="C46" s="36">
        <v>5.9</v>
      </c>
      <c r="D46" s="36">
        <v>6.4</v>
      </c>
      <c r="E46" s="36">
        <v>8.9</v>
      </c>
      <c r="F46" s="36">
        <v>9.6999999999999993</v>
      </c>
      <c r="G46" s="47">
        <v>0</v>
      </c>
      <c r="H46" s="36">
        <v>5.6</v>
      </c>
      <c r="I46" s="36">
        <v>6.1</v>
      </c>
      <c r="J46" s="36">
        <v>8.8000000000000007</v>
      </c>
      <c r="K46" s="36">
        <v>9.8000000000000007</v>
      </c>
      <c r="L46" s="44"/>
    </row>
    <row r="47" spans="1:12">
      <c r="A47" s="29">
        <v>66.5</v>
      </c>
      <c r="B47" s="47">
        <v>0</v>
      </c>
      <c r="C47" s="36">
        <v>6</v>
      </c>
      <c r="D47" s="36">
        <v>6.5</v>
      </c>
      <c r="E47" s="36">
        <v>9</v>
      </c>
      <c r="F47" s="36">
        <v>9.9</v>
      </c>
      <c r="G47" s="47">
        <v>0</v>
      </c>
      <c r="H47" s="36">
        <v>5.7</v>
      </c>
      <c r="I47" s="36">
        <v>6.2</v>
      </c>
      <c r="J47" s="36">
        <v>9</v>
      </c>
      <c r="K47" s="36">
        <v>9.9</v>
      </c>
      <c r="L47" s="44"/>
    </row>
    <row r="48" spans="1:12">
      <c r="A48" s="29">
        <v>67</v>
      </c>
      <c r="B48" s="47">
        <v>0</v>
      </c>
      <c r="C48" s="36">
        <v>6.1</v>
      </c>
      <c r="D48" s="36">
        <v>6.6</v>
      </c>
      <c r="E48" s="36">
        <v>9.1999999999999993</v>
      </c>
      <c r="F48" s="36">
        <v>10</v>
      </c>
      <c r="G48" s="47">
        <v>0</v>
      </c>
      <c r="H48" s="36">
        <v>5.8</v>
      </c>
      <c r="I48" s="36">
        <v>6.3</v>
      </c>
      <c r="J48" s="36">
        <v>9.1</v>
      </c>
      <c r="K48" s="36">
        <v>10</v>
      </c>
      <c r="L48" s="44"/>
    </row>
    <row r="49" spans="1:14">
      <c r="A49" s="29">
        <v>67.5</v>
      </c>
      <c r="B49" s="47">
        <v>0</v>
      </c>
      <c r="C49" s="36">
        <v>6.2</v>
      </c>
      <c r="D49" s="36">
        <v>6.7</v>
      </c>
      <c r="E49" s="36">
        <v>9.3000000000000007</v>
      </c>
      <c r="F49" s="36">
        <v>10.199999999999999</v>
      </c>
      <c r="G49" s="47">
        <v>0</v>
      </c>
      <c r="H49" s="36">
        <v>5.9</v>
      </c>
      <c r="I49" s="36">
        <v>6.4</v>
      </c>
      <c r="J49" s="36">
        <v>9.1999999999999993</v>
      </c>
      <c r="K49" s="36">
        <v>10.199999999999999</v>
      </c>
      <c r="L49" s="44"/>
    </row>
    <row r="50" spans="1:14">
      <c r="A50" s="29">
        <v>68</v>
      </c>
      <c r="B50" s="47">
        <v>0</v>
      </c>
      <c r="C50" s="36">
        <v>6.3</v>
      </c>
      <c r="D50" s="36">
        <v>6.8</v>
      </c>
      <c r="E50" s="36">
        <v>9.4</v>
      </c>
      <c r="F50" s="36">
        <v>10.3</v>
      </c>
      <c r="G50" s="47">
        <v>0</v>
      </c>
      <c r="H50" s="36">
        <v>6</v>
      </c>
      <c r="I50" s="36">
        <v>6.5</v>
      </c>
      <c r="J50" s="36">
        <v>9.4</v>
      </c>
      <c r="K50" s="36">
        <v>10.3</v>
      </c>
      <c r="L50" s="44"/>
    </row>
    <row r="51" spans="1:14">
      <c r="A51" s="29">
        <v>68.5</v>
      </c>
      <c r="B51" s="47">
        <v>0</v>
      </c>
      <c r="C51" s="36">
        <v>6.4</v>
      </c>
      <c r="D51" s="36">
        <v>6.9</v>
      </c>
      <c r="E51" s="36">
        <v>9.6</v>
      </c>
      <c r="F51" s="36">
        <v>10.5</v>
      </c>
      <c r="G51" s="47">
        <v>0</v>
      </c>
      <c r="H51" s="36">
        <v>6.1</v>
      </c>
      <c r="I51" s="36">
        <v>6.6</v>
      </c>
      <c r="J51" s="36">
        <v>9.5</v>
      </c>
      <c r="K51" s="36">
        <v>10.5</v>
      </c>
      <c r="L51" s="44"/>
    </row>
    <row r="52" spans="1:14">
      <c r="A52" s="29">
        <v>69</v>
      </c>
      <c r="B52" s="47">
        <v>0</v>
      </c>
      <c r="C52" s="36">
        <v>6.5</v>
      </c>
      <c r="D52" s="36">
        <v>7</v>
      </c>
      <c r="E52" s="36">
        <v>9.6999999999999993</v>
      </c>
      <c r="F52" s="36">
        <v>10.6</v>
      </c>
      <c r="G52" s="47">
        <v>0</v>
      </c>
      <c r="H52" s="36">
        <v>6.1</v>
      </c>
      <c r="I52" s="36">
        <v>6.7</v>
      </c>
      <c r="J52" s="36">
        <v>9.6</v>
      </c>
      <c r="K52" s="36">
        <v>10.6</v>
      </c>
      <c r="L52" s="44"/>
    </row>
    <row r="53" spans="1:14">
      <c r="A53" s="29">
        <v>69.5</v>
      </c>
      <c r="B53" s="47">
        <v>0</v>
      </c>
      <c r="C53" s="36">
        <v>6.6</v>
      </c>
      <c r="D53" s="36">
        <v>7.1</v>
      </c>
      <c r="E53" s="36">
        <v>9.8000000000000007</v>
      </c>
      <c r="F53" s="36">
        <v>10.8</v>
      </c>
      <c r="G53" s="47">
        <v>0</v>
      </c>
      <c r="H53" s="36">
        <v>6.2</v>
      </c>
      <c r="I53" s="36">
        <v>6.8</v>
      </c>
      <c r="J53" s="36">
        <v>9.6999999999999993</v>
      </c>
      <c r="K53" s="36">
        <v>10.7</v>
      </c>
      <c r="L53" s="44"/>
    </row>
    <row r="54" spans="1:14">
      <c r="A54" s="29">
        <v>70</v>
      </c>
      <c r="B54" s="47">
        <v>0</v>
      </c>
      <c r="C54" s="36">
        <v>6.6</v>
      </c>
      <c r="D54" s="36">
        <v>7.2</v>
      </c>
      <c r="E54" s="36">
        <v>10</v>
      </c>
      <c r="F54" s="36">
        <v>10.9</v>
      </c>
      <c r="G54" s="47">
        <v>0</v>
      </c>
      <c r="H54" s="36">
        <v>6.3</v>
      </c>
      <c r="I54" s="36">
        <v>6.9</v>
      </c>
      <c r="J54" s="36">
        <v>9.9</v>
      </c>
      <c r="K54" s="36">
        <v>10.9</v>
      </c>
      <c r="L54" s="44"/>
    </row>
    <row r="55" spans="1:14">
      <c r="A55" s="29">
        <v>70.5</v>
      </c>
      <c r="B55" s="47">
        <v>0</v>
      </c>
      <c r="C55" s="36">
        <v>6.7</v>
      </c>
      <c r="D55" s="36">
        <v>7.3</v>
      </c>
      <c r="E55" s="36">
        <v>10.1</v>
      </c>
      <c r="F55" s="36">
        <v>11.1</v>
      </c>
      <c r="G55" s="47">
        <v>0</v>
      </c>
      <c r="H55" s="36">
        <v>6.4</v>
      </c>
      <c r="I55" s="36">
        <v>6.9</v>
      </c>
      <c r="J55" s="36">
        <v>10</v>
      </c>
      <c r="K55" s="36">
        <v>11</v>
      </c>
      <c r="L55" s="44"/>
    </row>
    <row r="56" spans="1:14">
      <c r="A56" s="29">
        <v>71</v>
      </c>
      <c r="B56" s="47">
        <v>0</v>
      </c>
      <c r="C56" s="36">
        <v>6.8</v>
      </c>
      <c r="D56" s="36">
        <v>7.4</v>
      </c>
      <c r="E56" s="36">
        <v>10.199999999999999</v>
      </c>
      <c r="F56" s="36">
        <v>11.2</v>
      </c>
      <c r="G56" s="47">
        <v>0</v>
      </c>
      <c r="H56" s="36">
        <v>6.5</v>
      </c>
      <c r="I56" s="36">
        <v>7</v>
      </c>
      <c r="J56" s="36">
        <v>10.1</v>
      </c>
      <c r="K56" s="36">
        <v>11.1</v>
      </c>
      <c r="L56" s="44"/>
      <c r="N56" s="45"/>
    </row>
    <row r="57" spans="1:14">
      <c r="A57" s="29">
        <v>71.5</v>
      </c>
      <c r="B57" s="47">
        <v>0</v>
      </c>
      <c r="C57" s="36">
        <v>6.9</v>
      </c>
      <c r="D57" s="36">
        <v>7.5</v>
      </c>
      <c r="E57" s="36">
        <v>10.4</v>
      </c>
      <c r="F57" s="36">
        <v>11.3</v>
      </c>
      <c r="G57" s="47">
        <v>0</v>
      </c>
      <c r="H57" s="36">
        <v>6.5</v>
      </c>
      <c r="I57" s="36">
        <v>7.1</v>
      </c>
      <c r="J57" s="36">
        <v>10.199999999999999</v>
      </c>
      <c r="K57" s="36">
        <v>11.3</v>
      </c>
      <c r="L57" s="44"/>
      <c r="N57" s="45"/>
    </row>
    <row r="58" spans="1:14">
      <c r="A58" s="29">
        <v>72</v>
      </c>
      <c r="B58" s="47">
        <v>0</v>
      </c>
      <c r="C58" s="36">
        <v>7</v>
      </c>
      <c r="D58" s="36">
        <v>7.6</v>
      </c>
      <c r="E58" s="36">
        <v>10.5</v>
      </c>
      <c r="F58" s="36">
        <v>11.5</v>
      </c>
      <c r="G58" s="47">
        <v>0</v>
      </c>
      <c r="H58" s="36">
        <v>6.6</v>
      </c>
      <c r="I58" s="36">
        <v>7.2</v>
      </c>
      <c r="J58" s="36">
        <v>10.3</v>
      </c>
      <c r="K58" s="36">
        <v>11.4</v>
      </c>
      <c r="L58" s="44"/>
      <c r="N58" s="45"/>
    </row>
    <row r="59" spans="1:14">
      <c r="A59" s="29">
        <v>72.5</v>
      </c>
      <c r="B59" s="47">
        <v>0</v>
      </c>
      <c r="C59" s="36">
        <v>7.1</v>
      </c>
      <c r="D59" s="36">
        <v>7.6</v>
      </c>
      <c r="E59" s="36">
        <v>10.6</v>
      </c>
      <c r="F59" s="36">
        <v>11.6</v>
      </c>
      <c r="G59" s="47">
        <v>0</v>
      </c>
      <c r="H59" s="36">
        <v>6.7</v>
      </c>
      <c r="I59" s="36">
        <v>7.3</v>
      </c>
      <c r="J59" s="36">
        <v>10.5</v>
      </c>
      <c r="K59" s="36">
        <v>11.5</v>
      </c>
      <c r="L59" s="44"/>
    </row>
    <row r="60" spans="1:14">
      <c r="A60" s="29">
        <v>73</v>
      </c>
      <c r="B60" s="47">
        <v>0</v>
      </c>
      <c r="C60" s="36">
        <v>7.2</v>
      </c>
      <c r="D60" s="36">
        <v>7.7</v>
      </c>
      <c r="E60" s="36">
        <v>10.8</v>
      </c>
      <c r="F60" s="36">
        <v>11.8</v>
      </c>
      <c r="G60" s="47">
        <v>0</v>
      </c>
      <c r="H60" s="36">
        <v>6.8</v>
      </c>
      <c r="I60" s="36">
        <v>7.4</v>
      </c>
      <c r="J60" s="36">
        <v>10.6</v>
      </c>
      <c r="K60" s="36">
        <v>11.7</v>
      </c>
      <c r="L60" s="44"/>
    </row>
    <row r="61" spans="1:14">
      <c r="A61" s="29">
        <v>73.5</v>
      </c>
      <c r="B61" s="47">
        <v>0</v>
      </c>
      <c r="C61" s="36">
        <v>7.2</v>
      </c>
      <c r="D61" s="36">
        <v>7.8</v>
      </c>
      <c r="E61" s="36">
        <v>10.9</v>
      </c>
      <c r="F61" s="36">
        <v>11.9</v>
      </c>
      <c r="G61" s="47">
        <v>0</v>
      </c>
      <c r="H61" s="36">
        <v>6.9</v>
      </c>
      <c r="I61" s="36">
        <v>7.4</v>
      </c>
      <c r="J61" s="36">
        <v>10.7</v>
      </c>
      <c r="K61" s="36">
        <v>11.8</v>
      </c>
      <c r="L61" s="44"/>
    </row>
    <row r="62" spans="1:14">
      <c r="A62" s="29">
        <v>74</v>
      </c>
      <c r="B62" s="47">
        <v>0</v>
      </c>
      <c r="C62" s="36">
        <v>7.3</v>
      </c>
      <c r="D62" s="36">
        <v>7.9</v>
      </c>
      <c r="E62" s="36">
        <v>11</v>
      </c>
      <c r="F62" s="36">
        <v>12.1</v>
      </c>
      <c r="G62" s="47">
        <v>0</v>
      </c>
      <c r="H62" s="36">
        <v>6.9</v>
      </c>
      <c r="I62" s="36">
        <v>7.5</v>
      </c>
      <c r="J62" s="36">
        <v>10.8</v>
      </c>
      <c r="K62" s="36">
        <v>11.9</v>
      </c>
      <c r="L62" s="44"/>
    </row>
    <row r="63" spans="1:14">
      <c r="A63" s="29">
        <v>74.5</v>
      </c>
      <c r="B63" s="47">
        <v>0</v>
      </c>
      <c r="C63" s="36">
        <v>7.4</v>
      </c>
      <c r="D63" s="36">
        <v>8</v>
      </c>
      <c r="E63" s="36">
        <v>11.2</v>
      </c>
      <c r="F63" s="36">
        <v>12.2</v>
      </c>
      <c r="G63" s="47">
        <v>0</v>
      </c>
      <c r="H63" s="36">
        <v>7</v>
      </c>
      <c r="I63" s="36">
        <v>7.6</v>
      </c>
      <c r="J63" s="36">
        <v>10.9</v>
      </c>
      <c r="K63" s="36">
        <v>12</v>
      </c>
      <c r="L63" s="44"/>
    </row>
    <row r="64" spans="1:14">
      <c r="A64" s="29">
        <v>75</v>
      </c>
      <c r="B64" s="47">
        <v>0</v>
      </c>
      <c r="C64" s="36">
        <v>7.5</v>
      </c>
      <c r="D64" s="36">
        <v>8.1</v>
      </c>
      <c r="E64" s="36">
        <v>11.3</v>
      </c>
      <c r="F64" s="36">
        <v>12.3</v>
      </c>
      <c r="G64" s="47">
        <v>0</v>
      </c>
      <c r="H64" s="36">
        <v>7.1</v>
      </c>
      <c r="I64" s="36">
        <v>7.7</v>
      </c>
      <c r="J64" s="36">
        <v>11</v>
      </c>
      <c r="K64" s="36">
        <v>12.2</v>
      </c>
      <c r="L64" s="44"/>
    </row>
    <row r="65" spans="1:12">
      <c r="A65" s="29">
        <v>75.5</v>
      </c>
      <c r="B65" s="47">
        <v>0</v>
      </c>
      <c r="C65" s="36">
        <v>7.6</v>
      </c>
      <c r="D65" s="36">
        <v>8.1999999999999993</v>
      </c>
      <c r="E65" s="36">
        <v>11.4</v>
      </c>
      <c r="F65" s="36">
        <v>12.5</v>
      </c>
      <c r="G65" s="47">
        <v>0</v>
      </c>
      <c r="H65" s="36">
        <v>7.1</v>
      </c>
      <c r="I65" s="36">
        <v>7.8</v>
      </c>
      <c r="J65" s="36">
        <v>11.1</v>
      </c>
      <c r="K65" s="36">
        <v>12.3</v>
      </c>
      <c r="L65" s="44"/>
    </row>
    <row r="66" spans="1:12">
      <c r="A66" s="29">
        <v>76</v>
      </c>
      <c r="B66" s="47">
        <v>0</v>
      </c>
      <c r="C66" s="36">
        <v>7.6</v>
      </c>
      <c r="D66" s="36">
        <v>8.3000000000000007</v>
      </c>
      <c r="E66" s="36">
        <v>11.5</v>
      </c>
      <c r="F66" s="36">
        <v>12.6</v>
      </c>
      <c r="G66" s="47">
        <v>0</v>
      </c>
      <c r="H66" s="36">
        <v>7.2</v>
      </c>
      <c r="I66" s="36">
        <v>7.8</v>
      </c>
      <c r="J66" s="36">
        <v>11.2</v>
      </c>
      <c r="K66" s="36">
        <v>12.4</v>
      </c>
      <c r="L66" s="44"/>
    </row>
    <row r="67" spans="1:12" ht="20.25" customHeight="1">
      <c r="A67" s="29">
        <v>76.5</v>
      </c>
      <c r="B67" s="47">
        <v>0</v>
      </c>
      <c r="C67" s="36">
        <v>7.7</v>
      </c>
      <c r="D67" s="36">
        <v>8.3000000000000007</v>
      </c>
      <c r="E67" s="36">
        <v>11.6</v>
      </c>
      <c r="F67" s="36">
        <v>12.7</v>
      </c>
      <c r="G67" s="47">
        <v>0</v>
      </c>
      <c r="H67" s="36">
        <v>7.3</v>
      </c>
      <c r="I67" s="36">
        <v>7.9</v>
      </c>
      <c r="J67" s="36">
        <v>11.4</v>
      </c>
      <c r="K67" s="36">
        <v>12.5</v>
      </c>
      <c r="L67" s="44"/>
    </row>
    <row r="68" spans="1:12" ht="18.75" customHeight="1">
      <c r="A68" s="29">
        <v>77</v>
      </c>
      <c r="B68" s="47">
        <v>0</v>
      </c>
      <c r="C68" s="36">
        <v>7.8</v>
      </c>
      <c r="D68" s="36">
        <v>8.4</v>
      </c>
      <c r="E68" s="36">
        <v>11.7</v>
      </c>
      <c r="F68" s="36">
        <v>12.8</v>
      </c>
      <c r="G68" s="47">
        <v>0</v>
      </c>
      <c r="H68" s="36">
        <v>7.4</v>
      </c>
      <c r="I68" s="36">
        <v>8</v>
      </c>
      <c r="J68" s="36">
        <v>11.5</v>
      </c>
      <c r="K68" s="36">
        <v>12.6</v>
      </c>
      <c r="L68" s="44"/>
    </row>
    <row r="69" spans="1:12" ht="18.75" customHeight="1">
      <c r="A69" s="29">
        <v>77.5</v>
      </c>
      <c r="B69" s="47">
        <v>0</v>
      </c>
      <c r="C69" s="36">
        <v>7.9</v>
      </c>
      <c r="D69" s="36">
        <v>8.5</v>
      </c>
      <c r="E69" s="36">
        <v>11.9</v>
      </c>
      <c r="F69" s="36">
        <v>13</v>
      </c>
      <c r="G69" s="47">
        <v>0</v>
      </c>
      <c r="H69" s="36">
        <v>7.4</v>
      </c>
      <c r="I69" s="36">
        <v>8.1</v>
      </c>
      <c r="J69" s="36">
        <v>11.6</v>
      </c>
      <c r="K69" s="36">
        <v>12.8</v>
      </c>
      <c r="L69" s="44"/>
    </row>
    <row r="70" spans="1:12" ht="18.75" customHeight="1">
      <c r="A70" s="29">
        <v>78</v>
      </c>
      <c r="B70" s="47">
        <v>0</v>
      </c>
      <c r="C70" s="36">
        <v>7.9</v>
      </c>
      <c r="D70" s="36">
        <v>8.6</v>
      </c>
      <c r="E70" s="36">
        <v>12</v>
      </c>
      <c r="F70" s="36">
        <v>13.1</v>
      </c>
      <c r="G70" s="47">
        <v>0</v>
      </c>
      <c r="H70" s="36">
        <v>7.5</v>
      </c>
      <c r="I70" s="36">
        <v>8.1999999999999993</v>
      </c>
      <c r="J70" s="36">
        <v>11.7</v>
      </c>
      <c r="K70" s="36">
        <v>12.9</v>
      </c>
      <c r="L70" s="44"/>
    </row>
    <row r="71" spans="1:12" ht="18.75" customHeight="1">
      <c r="A71" s="29">
        <v>78.5</v>
      </c>
      <c r="B71" s="47">
        <v>0</v>
      </c>
      <c r="C71" s="36">
        <v>8</v>
      </c>
      <c r="D71" s="36">
        <v>8.6999999999999993</v>
      </c>
      <c r="E71" s="36">
        <v>12.1</v>
      </c>
      <c r="F71" s="36">
        <v>13.2</v>
      </c>
      <c r="G71" s="47">
        <v>0</v>
      </c>
      <c r="H71" s="36">
        <v>7.6</v>
      </c>
      <c r="I71" s="36">
        <v>8.1999999999999993</v>
      </c>
      <c r="J71" s="36">
        <v>11.8</v>
      </c>
      <c r="K71" s="36">
        <v>13</v>
      </c>
      <c r="L71" s="44"/>
    </row>
    <row r="72" spans="1:12" ht="18.75" customHeight="1">
      <c r="A72" s="29">
        <v>79</v>
      </c>
      <c r="B72" s="47">
        <v>0</v>
      </c>
      <c r="C72" s="36">
        <v>8.1</v>
      </c>
      <c r="D72" s="36">
        <v>8.6999999999999993</v>
      </c>
      <c r="E72" s="36">
        <v>12.2</v>
      </c>
      <c r="F72" s="36">
        <v>13.3</v>
      </c>
      <c r="G72" s="47">
        <v>0</v>
      </c>
      <c r="H72" s="36">
        <v>7.7</v>
      </c>
      <c r="I72" s="36">
        <v>8.3000000000000007</v>
      </c>
      <c r="J72" s="36">
        <v>11.9</v>
      </c>
      <c r="K72" s="36">
        <v>13.1</v>
      </c>
      <c r="L72" s="44"/>
    </row>
    <row r="73" spans="1:12" ht="18.75" customHeight="1">
      <c r="A73" s="29">
        <v>79.5</v>
      </c>
      <c r="B73" s="47">
        <v>0</v>
      </c>
      <c r="C73" s="36">
        <v>8.1999999999999993</v>
      </c>
      <c r="D73" s="36">
        <v>8.8000000000000007</v>
      </c>
      <c r="E73" s="36">
        <v>12.3</v>
      </c>
      <c r="F73" s="36">
        <v>13.4</v>
      </c>
      <c r="G73" s="47">
        <v>0</v>
      </c>
      <c r="H73" s="36">
        <v>7.7</v>
      </c>
      <c r="I73" s="36">
        <v>8.4</v>
      </c>
      <c r="J73" s="36">
        <v>12</v>
      </c>
      <c r="K73" s="36">
        <v>13.3</v>
      </c>
      <c r="L73" s="44"/>
    </row>
    <row r="74" spans="1:12" ht="18.75" customHeight="1">
      <c r="A74" s="29">
        <v>80</v>
      </c>
      <c r="B74" s="47">
        <v>0</v>
      </c>
      <c r="C74" s="36">
        <v>8.1999999999999993</v>
      </c>
      <c r="D74" s="36">
        <v>8.9</v>
      </c>
      <c r="E74" s="36">
        <v>12.4</v>
      </c>
      <c r="F74" s="36">
        <v>13.6</v>
      </c>
      <c r="G74" s="47">
        <v>0</v>
      </c>
      <c r="H74" s="36">
        <v>7.8</v>
      </c>
      <c r="I74" s="36">
        <v>8.5</v>
      </c>
      <c r="J74" s="36">
        <v>12.1</v>
      </c>
      <c r="K74" s="36">
        <v>13.4</v>
      </c>
      <c r="L74" s="44"/>
    </row>
    <row r="75" spans="1:12" ht="18.75" customHeight="1">
      <c r="A75" s="29">
        <v>80.5</v>
      </c>
      <c r="B75" s="47">
        <v>0</v>
      </c>
      <c r="C75" s="36">
        <v>8.3000000000000007</v>
      </c>
      <c r="D75" s="36">
        <v>9</v>
      </c>
      <c r="E75" s="36">
        <v>12.5</v>
      </c>
      <c r="F75" s="36">
        <v>13.7</v>
      </c>
      <c r="G75" s="47">
        <v>0</v>
      </c>
      <c r="H75" s="36">
        <v>7.9</v>
      </c>
      <c r="I75" s="36">
        <v>8.6</v>
      </c>
      <c r="J75" s="36">
        <v>12.3</v>
      </c>
      <c r="K75" s="36">
        <v>13.5</v>
      </c>
      <c r="L75" s="44"/>
    </row>
    <row r="76" spans="1:12" ht="18.75" customHeight="1">
      <c r="A76" s="29">
        <v>81</v>
      </c>
      <c r="B76" s="47">
        <v>0</v>
      </c>
      <c r="C76" s="36">
        <v>8.4</v>
      </c>
      <c r="D76" s="36">
        <v>9.1</v>
      </c>
      <c r="E76" s="36">
        <v>12.6</v>
      </c>
      <c r="F76" s="36">
        <v>13.8</v>
      </c>
      <c r="G76" s="47">
        <v>0</v>
      </c>
      <c r="H76" s="36">
        <v>8</v>
      </c>
      <c r="I76" s="36">
        <v>8.6999999999999993</v>
      </c>
      <c r="J76" s="36">
        <v>12.4</v>
      </c>
      <c r="K76" s="36">
        <v>13.7</v>
      </c>
      <c r="L76" s="44"/>
    </row>
    <row r="77" spans="1:12" ht="18.75" customHeight="1">
      <c r="A77" s="29">
        <v>81.5</v>
      </c>
      <c r="B77" s="47">
        <v>0</v>
      </c>
      <c r="C77" s="36">
        <v>8.5</v>
      </c>
      <c r="D77" s="36">
        <v>9.1</v>
      </c>
      <c r="E77" s="36">
        <v>12.7</v>
      </c>
      <c r="F77" s="36">
        <v>13.9</v>
      </c>
      <c r="G77" s="47">
        <v>0</v>
      </c>
      <c r="H77" s="36">
        <v>8.1</v>
      </c>
      <c r="I77" s="36">
        <v>8.8000000000000007</v>
      </c>
      <c r="J77" s="36">
        <v>12.5</v>
      </c>
      <c r="K77" s="36">
        <v>13.8</v>
      </c>
      <c r="L77" s="44"/>
    </row>
    <row r="78" spans="1:12" ht="18.75" customHeight="1">
      <c r="A78" s="29">
        <v>82</v>
      </c>
      <c r="B78" s="47">
        <v>0</v>
      </c>
      <c r="C78" s="36">
        <v>8.5</v>
      </c>
      <c r="D78" s="36">
        <v>9.1999999999999993</v>
      </c>
      <c r="E78" s="36">
        <v>12.8</v>
      </c>
      <c r="F78" s="36">
        <v>14</v>
      </c>
      <c r="G78" s="47">
        <v>0</v>
      </c>
      <c r="H78" s="36">
        <v>8.1</v>
      </c>
      <c r="I78" s="36">
        <v>8.8000000000000007</v>
      </c>
      <c r="J78" s="36">
        <v>12.6</v>
      </c>
      <c r="K78" s="36">
        <v>13.9</v>
      </c>
      <c r="L78" s="44"/>
    </row>
    <row r="79" spans="1:12" ht="18.75" customHeight="1">
      <c r="A79" s="29">
        <v>82.5</v>
      </c>
      <c r="B79" s="47">
        <v>0</v>
      </c>
      <c r="C79" s="36">
        <v>8.6</v>
      </c>
      <c r="D79" s="36">
        <v>9.3000000000000007</v>
      </c>
      <c r="E79" s="36">
        <v>13</v>
      </c>
      <c r="F79" s="36">
        <v>14.2</v>
      </c>
      <c r="G79" s="47">
        <v>0</v>
      </c>
      <c r="H79" s="36">
        <v>8.1999999999999993</v>
      </c>
      <c r="I79" s="36">
        <v>8.9</v>
      </c>
      <c r="J79" s="36">
        <v>12.8</v>
      </c>
      <c r="K79" s="36">
        <v>14.1</v>
      </c>
      <c r="L79" s="44"/>
    </row>
    <row r="80" spans="1:12" ht="18.75" customHeight="1">
      <c r="A80" s="29">
        <v>83</v>
      </c>
      <c r="B80" s="47">
        <v>0</v>
      </c>
      <c r="C80" s="36">
        <v>8.6999999999999993</v>
      </c>
      <c r="D80" s="36">
        <v>9.4</v>
      </c>
      <c r="E80" s="36">
        <v>13.1</v>
      </c>
      <c r="F80" s="36">
        <v>14.3</v>
      </c>
      <c r="G80" s="47">
        <v>0</v>
      </c>
      <c r="H80" s="36">
        <v>8.3000000000000007</v>
      </c>
      <c r="I80" s="36">
        <v>9</v>
      </c>
      <c r="J80" s="36">
        <v>12.9</v>
      </c>
      <c r="K80" s="36">
        <v>14.2</v>
      </c>
      <c r="L80" s="44"/>
    </row>
    <row r="81" spans="1:12" ht="18.75" customHeight="1">
      <c r="A81" s="29">
        <v>83.5</v>
      </c>
      <c r="B81" s="47">
        <v>0</v>
      </c>
      <c r="C81" s="36">
        <v>8.8000000000000007</v>
      </c>
      <c r="D81" s="36">
        <v>9.5</v>
      </c>
      <c r="E81" s="36">
        <v>13.2</v>
      </c>
      <c r="F81" s="36">
        <v>14.4</v>
      </c>
      <c r="G81" s="47">
        <v>0</v>
      </c>
      <c r="H81" s="36">
        <v>8.4</v>
      </c>
      <c r="I81" s="36">
        <v>9.1</v>
      </c>
      <c r="J81" s="36">
        <v>13.1</v>
      </c>
      <c r="K81" s="36">
        <v>14.4</v>
      </c>
      <c r="L81" s="44"/>
    </row>
    <row r="82" spans="1:12" ht="18.75" customHeight="1">
      <c r="A82" s="29">
        <v>84</v>
      </c>
      <c r="B82" s="47">
        <v>0</v>
      </c>
      <c r="C82" s="36">
        <v>8.9</v>
      </c>
      <c r="D82" s="36">
        <v>9.6</v>
      </c>
      <c r="E82" s="36">
        <v>13.3</v>
      </c>
      <c r="F82" s="36">
        <v>14.6</v>
      </c>
      <c r="G82" s="47">
        <v>0</v>
      </c>
      <c r="H82" s="36">
        <v>8.5</v>
      </c>
      <c r="I82" s="36">
        <v>9.1999999999999993</v>
      </c>
      <c r="J82" s="36">
        <v>13.2</v>
      </c>
      <c r="K82" s="36">
        <v>14.5</v>
      </c>
      <c r="L82" s="44"/>
    </row>
    <row r="83" spans="1:12" ht="18.75" customHeight="1">
      <c r="A83" s="29">
        <v>84.5</v>
      </c>
      <c r="B83" s="47">
        <v>0</v>
      </c>
      <c r="C83" s="36">
        <v>9</v>
      </c>
      <c r="D83" s="36">
        <v>9.6999999999999993</v>
      </c>
      <c r="E83" s="36">
        <v>13.5</v>
      </c>
      <c r="F83" s="36">
        <v>14.7</v>
      </c>
      <c r="G83" s="47">
        <v>0</v>
      </c>
      <c r="H83" s="36">
        <v>8.6</v>
      </c>
      <c r="I83" s="36">
        <v>9.3000000000000007</v>
      </c>
      <c r="J83" s="36">
        <v>13.3</v>
      </c>
      <c r="K83" s="36">
        <v>14.7</v>
      </c>
      <c r="L83" s="44"/>
    </row>
    <row r="84" spans="1:12" ht="18.75" customHeight="1">
      <c r="A84" s="29">
        <v>85</v>
      </c>
      <c r="B84" s="47">
        <v>0</v>
      </c>
      <c r="C84" s="36">
        <v>9.1</v>
      </c>
      <c r="D84" s="36">
        <v>9.8000000000000007</v>
      </c>
      <c r="E84" s="36">
        <v>13.6</v>
      </c>
      <c r="F84" s="36">
        <v>14.9</v>
      </c>
      <c r="G84" s="47">
        <v>0</v>
      </c>
      <c r="H84" s="36">
        <v>8.6999999999999993</v>
      </c>
      <c r="I84" s="36">
        <v>9.4</v>
      </c>
      <c r="J84" s="36">
        <v>13.5</v>
      </c>
      <c r="K84" s="36">
        <v>14.9</v>
      </c>
      <c r="L84" s="44"/>
    </row>
    <row r="85" spans="1:12" ht="18.75" customHeight="1">
      <c r="A85" s="29">
        <v>85.5</v>
      </c>
      <c r="B85" s="47">
        <v>0</v>
      </c>
      <c r="C85" s="36">
        <v>9.1999999999999993</v>
      </c>
      <c r="D85" s="36">
        <v>9.9</v>
      </c>
      <c r="E85" s="36">
        <v>13.7</v>
      </c>
      <c r="F85" s="36">
        <v>15</v>
      </c>
      <c r="G85" s="47">
        <v>0</v>
      </c>
      <c r="H85" s="36">
        <v>8.8000000000000007</v>
      </c>
      <c r="I85" s="36">
        <v>9.5</v>
      </c>
      <c r="J85" s="36">
        <v>13.6</v>
      </c>
      <c r="K85" s="36">
        <v>15</v>
      </c>
      <c r="L85" s="44"/>
    </row>
    <row r="86" spans="1:12" ht="18.75" customHeight="1">
      <c r="A86" s="29">
        <v>86</v>
      </c>
      <c r="B86" s="47">
        <v>0</v>
      </c>
      <c r="C86" s="36">
        <v>9.3000000000000007</v>
      </c>
      <c r="D86" s="36">
        <v>10</v>
      </c>
      <c r="E86" s="36">
        <v>13.9</v>
      </c>
      <c r="F86" s="36">
        <v>15.2</v>
      </c>
      <c r="G86" s="47">
        <v>0</v>
      </c>
      <c r="H86" s="36">
        <v>8.9</v>
      </c>
      <c r="I86" s="36">
        <v>9.6999999999999993</v>
      </c>
      <c r="J86" s="36">
        <v>13.8</v>
      </c>
      <c r="K86" s="36">
        <v>15.2</v>
      </c>
      <c r="L86" s="44"/>
    </row>
    <row r="87" spans="1:12" ht="18.75" customHeight="1">
      <c r="A87" s="29">
        <v>86.5</v>
      </c>
      <c r="B87" s="47">
        <v>0</v>
      </c>
      <c r="C87" s="36">
        <v>9.4</v>
      </c>
      <c r="D87" s="36">
        <v>10.1</v>
      </c>
      <c r="E87" s="36">
        <v>14</v>
      </c>
      <c r="F87" s="36">
        <v>15.3</v>
      </c>
      <c r="G87" s="47">
        <v>0</v>
      </c>
      <c r="H87" s="36">
        <v>9</v>
      </c>
      <c r="I87" s="36">
        <v>9.8000000000000007</v>
      </c>
      <c r="J87" s="36">
        <v>13.9</v>
      </c>
      <c r="K87" s="36">
        <v>15.4</v>
      </c>
      <c r="L87" s="44"/>
    </row>
    <row r="88" spans="1:12" ht="18.75" customHeight="1">
      <c r="A88" s="29">
        <v>87</v>
      </c>
      <c r="B88" s="47">
        <v>0</v>
      </c>
      <c r="C88" s="36">
        <v>9.5</v>
      </c>
      <c r="D88" s="36">
        <v>10.199999999999999</v>
      </c>
      <c r="E88" s="36">
        <v>14.2</v>
      </c>
      <c r="F88" s="36">
        <v>15.5</v>
      </c>
      <c r="G88" s="47">
        <v>0</v>
      </c>
      <c r="H88" s="36">
        <v>9.1</v>
      </c>
      <c r="I88" s="36">
        <v>9.9</v>
      </c>
      <c r="J88" s="36">
        <v>14.1</v>
      </c>
      <c r="K88" s="36">
        <v>15.5</v>
      </c>
      <c r="L88" s="44"/>
    </row>
    <row r="89" spans="1:12" ht="18.75" customHeight="1">
      <c r="A89" s="29">
        <v>87.5</v>
      </c>
      <c r="B89" s="47">
        <v>0</v>
      </c>
      <c r="C89" s="36">
        <v>9.6</v>
      </c>
      <c r="D89" s="36">
        <v>10.4</v>
      </c>
      <c r="E89" s="36">
        <v>14.3</v>
      </c>
      <c r="F89" s="36">
        <v>15.6</v>
      </c>
      <c r="G89" s="47">
        <v>0</v>
      </c>
      <c r="H89" s="36">
        <v>9.1999999999999993</v>
      </c>
      <c r="I89" s="36">
        <v>10</v>
      </c>
      <c r="J89" s="36">
        <v>14.2</v>
      </c>
      <c r="K89" s="36">
        <v>15.7</v>
      </c>
      <c r="L89" s="44"/>
    </row>
    <row r="90" spans="1:12" ht="18.75" customHeight="1">
      <c r="A90" s="29">
        <v>88</v>
      </c>
      <c r="B90" s="47">
        <v>0</v>
      </c>
      <c r="C90" s="36">
        <v>9.6999999999999993</v>
      </c>
      <c r="D90" s="36">
        <v>10.5</v>
      </c>
      <c r="E90" s="36">
        <v>14.5</v>
      </c>
      <c r="F90" s="36">
        <v>15.8</v>
      </c>
      <c r="G90" s="47">
        <v>0</v>
      </c>
      <c r="H90" s="36">
        <v>9.3000000000000007</v>
      </c>
      <c r="I90" s="36">
        <v>10.1</v>
      </c>
      <c r="J90" s="36">
        <v>14.4</v>
      </c>
      <c r="K90" s="36">
        <v>15.9</v>
      </c>
      <c r="L90" s="44"/>
    </row>
    <row r="91" spans="1:12" ht="18.75" customHeight="1">
      <c r="A91" s="29">
        <v>88.5</v>
      </c>
      <c r="B91" s="47">
        <v>0</v>
      </c>
      <c r="C91" s="36">
        <v>9.8000000000000007</v>
      </c>
      <c r="D91" s="36">
        <v>10.6</v>
      </c>
      <c r="E91" s="36">
        <v>14.6</v>
      </c>
      <c r="F91" s="36">
        <v>15.9</v>
      </c>
      <c r="G91" s="47">
        <v>0</v>
      </c>
      <c r="H91" s="36">
        <v>9.4</v>
      </c>
      <c r="I91" s="36">
        <v>10.199999999999999</v>
      </c>
      <c r="J91" s="36">
        <v>14.5</v>
      </c>
      <c r="K91" s="36">
        <v>16</v>
      </c>
      <c r="L91" s="44"/>
    </row>
    <row r="92" spans="1:12" ht="18.75" customHeight="1">
      <c r="A92" s="29">
        <v>89</v>
      </c>
      <c r="B92" s="47">
        <v>0</v>
      </c>
      <c r="C92" s="36">
        <v>9.9</v>
      </c>
      <c r="D92" s="36">
        <v>10.7</v>
      </c>
      <c r="E92" s="36">
        <v>14.7</v>
      </c>
      <c r="F92" s="36">
        <v>16.100000000000001</v>
      </c>
      <c r="G92" s="47">
        <v>0</v>
      </c>
      <c r="H92" s="36">
        <v>9.5</v>
      </c>
      <c r="I92" s="36">
        <v>10.3</v>
      </c>
      <c r="J92" s="36">
        <v>14.7</v>
      </c>
      <c r="K92" s="36">
        <v>16.2</v>
      </c>
      <c r="L92" s="44"/>
    </row>
    <row r="93" spans="1:12" ht="18.75" customHeight="1">
      <c r="A93" s="29">
        <v>89.5</v>
      </c>
      <c r="B93" s="47">
        <v>0</v>
      </c>
      <c r="C93" s="36">
        <v>10</v>
      </c>
      <c r="D93" s="36">
        <v>10.8</v>
      </c>
      <c r="E93" s="36">
        <v>14.9</v>
      </c>
      <c r="F93" s="36">
        <v>16.2</v>
      </c>
      <c r="G93" s="47">
        <v>0</v>
      </c>
      <c r="H93" s="36">
        <v>9.6</v>
      </c>
      <c r="I93" s="36">
        <v>10.4</v>
      </c>
      <c r="J93" s="36">
        <v>14.8</v>
      </c>
      <c r="K93" s="36">
        <v>16.399999999999999</v>
      </c>
      <c r="L93" s="44"/>
    </row>
    <row r="94" spans="1:12">
      <c r="A94" s="29">
        <v>90</v>
      </c>
      <c r="B94" s="47">
        <v>0</v>
      </c>
      <c r="C94" s="36">
        <v>10.1</v>
      </c>
      <c r="D94" s="36">
        <v>10.9</v>
      </c>
      <c r="E94" s="36">
        <v>15</v>
      </c>
      <c r="F94" s="36">
        <v>16.399999999999999</v>
      </c>
      <c r="G94" s="47">
        <v>0</v>
      </c>
      <c r="H94" s="36">
        <v>9.6999999999999993</v>
      </c>
      <c r="I94" s="36">
        <v>10.5</v>
      </c>
      <c r="J94" s="36">
        <v>15</v>
      </c>
      <c r="K94" s="36">
        <v>16.5</v>
      </c>
      <c r="L94" s="44"/>
    </row>
    <row r="95" spans="1:12">
      <c r="A95" s="29">
        <v>90.5</v>
      </c>
      <c r="B95" s="47">
        <v>0</v>
      </c>
      <c r="C95" s="36">
        <v>10.199999999999999</v>
      </c>
      <c r="D95" s="36">
        <v>11</v>
      </c>
      <c r="E95" s="36">
        <v>15.1</v>
      </c>
      <c r="F95" s="36">
        <v>16.5</v>
      </c>
      <c r="G95" s="47">
        <v>0</v>
      </c>
      <c r="H95" s="36">
        <v>9.8000000000000007</v>
      </c>
      <c r="I95" s="36">
        <v>10.6</v>
      </c>
      <c r="J95" s="36">
        <v>15.1</v>
      </c>
      <c r="K95" s="36">
        <v>16.7</v>
      </c>
      <c r="L95" s="44"/>
    </row>
    <row r="96" spans="1:12">
      <c r="A96" s="29">
        <v>91</v>
      </c>
      <c r="B96" s="47">
        <v>0</v>
      </c>
      <c r="C96" s="36">
        <v>10.3</v>
      </c>
      <c r="D96" s="36">
        <v>11.1</v>
      </c>
      <c r="E96" s="36">
        <v>15.3</v>
      </c>
      <c r="F96" s="36">
        <v>16.7</v>
      </c>
      <c r="G96" s="47">
        <v>0</v>
      </c>
      <c r="H96" s="36">
        <v>9.9</v>
      </c>
      <c r="I96" s="36">
        <v>10.7</v>
      </c>
      <c r="J96" s="36">
        <v>15.3</v>
      </c>
      <c r="K96" s="36">
        <v>16.899999999999999</v>
      </c>
      <c r="L96" s="44"/>
    </row>
    <row r="97" spans="1:12">
      <c r="A97" s="29">
        <v>91.5</v>
      </c>
      <c r="B97" s="47">
        <v>0</v>
      </c>
      <c r="C97" s="36">
        <v>10.4</v>
      </c>
      <c r="D97" s="36">
        <v>11.2</v>
      </c>
      <c r="E97" s="36">
        <v>15.4</v>
      </c>
      <c r="F97" s="36">
        <v>16.8</v>
      </c>
      <c r="G97" s="47">
        <v>0</v>
      </c>
      <c r="H97" s="36">
        <v>10</v>
      </c>
      <c r="I97" s="36">
        <v>10.8</v>
      </c>
      <c r="J97" s="36">
        <v>15.5</v>
      </c>
      <c r="K97" s="36">
        <v>17</v>
      </c>
      <c r="L97" s="44"/>
    </row>
    <row r="98" spans="1:12">
      <c r="A98" s="29">
        <v>92</v>
      </c>
      <c r="B98" s="47">
        <v>0</v>
      </c>
      <c r="C98" s="36">
        <v>10.5</v>
      </c>
      <c r="D98" s="36">
        <v>11.3</v>
      </c>
      <c r="E98" s="36">
        <v>15.6</v>
      </c>
      <c r="F98" s="36">
        <v>17</v>
      </c>
      <c r="G98" s="47">
        <v>0</v>
      </c>
      <c r="H98" s="36">
        <v>10.1</v>
      </c>
      <c r="I98" s="36">
        <v>10.9</v>
      </c>
      <c r="J98" s="36">
        <v>15.6</v>
      </c>
      <c r="K98" s="36">
        <v>17.2</v>
      </c>
      <c r="L98" s="44"/>
    </row>
    <row r="99" spans="1:12">
      <c r="A99" s="29">
        <v>92.5</v>
      </c>
      <c r="B99" s="47">
        <v>0</v>
      </c>
      <c r="C99" s="36">
        <v>10.6</v>
      </c>
      <c r="D99" s="36">
        <v>11.4</v>
      </c>
      <c r="E99" s="36">
        <v>15.7</v>
      </c>
      <c r="F99" s="36">
        <v>17.100000000000001</v>
      </c>
      <c r="G99" s="47">
        <v>0</v>
      </c>
      <c r="H99" s="36">
        <v>10.1</v>
      </c>
      <c r="I99" s="36">
        <v>11</v>
      </c>
      <c r="J99" s="36">
        <v>15.8</v>
      </c>
      <c r="K99" s="36">
        <v>17.399999999999999</v>
      </c>
      <c r="L99" s="44"/>
    </row>
    <row r="100" spans="1:12">
      <c r="A100" s="29">
        <v>93</v>
      </c>
      <c r="B100" s="47">
        <v>0</v>
      </c>
      <c r="C100" s="36">
        <v>10.7</v>
      </c>
      <c r="D100" s="36">
        <v>11.5</v>
      </c>
      <c r="E100" s="36">
        <v>15.8</v>
      </c>
      <c r="F100" s="36">
        <v>17.3</v>
      </c>
      <c r="G100" s="47">
        <v>0</v>
      </c>
      <c r="H100" s="36">
        <v>10.199999999999999</v>
      </c>
      <c r="I100" s="36">
        <v>11.1</v>
      </c>
      <c r="J100" s="36">
        <v>15.9</v>
      </c>
      <c r="K100" s="36">
        <v>17.5</v>
      </c>
      <c r="L100" s="44"/>
    </row>
    <row r="101" spans="1:12">
      <c r="A101" s="29">
        <v>93.5</v>
      </c>
      <c r="B101" s="47">
        <v>0</v>
      </c>
      <c r="C101" s="36">
        <v>10.7</v>
      </c>
      <c r="D101" s="36">
        <v>11.6</v>
      </c>
      <c r="E101" s="36">
        <v>16</v>
      </c>
      <c r="F101" s="36">
        <v>17.399999999999999</v>
      </c>
      <c r="G101" s="47">
        <v>0</v>
      </c>
      <c r="H101" s="36">
        <v>10.3</v>
      </c>
      <c r="I101" s="36">
        <v>11.2</v>
      </c>
      <c r="J101" s="36">
        <v>16.100000000000001</v>
      </c>
      <c r="K101" s="36">
        <v>17.7</v>
      </c>
      <c r="L101" s="44"/>
    </row>
    <row r="102" spans="1:12">
      <c r="A102" s="29">
        <v>94</v>
      </c>
      <c r="B102" s="47">
        <v>0</v>
      </c>
      <c r="C102" s="36">
        <v>10.8</v>
      </c>
      <c r="D102" s="36">
        <v>11.7</v>
      </c>
      <c r="E102" s="36">
        <v>16.100000000000001</v>
      </c>
      <c r="F102" s="36">
        <v>17.600000000000001</v>
      </c>
      <c r="G102" s="47">
        <v>0</v>
      </c>
      <c r="H102" s="36">
        <v>10.4</v>
      </c>
      <c r="I102" s="36">
        <v>11.3</v>
      </c>
      <c r="J102" s="36">
        <v>16.2</v>
      </c>
      <c r="K102" s="36">
        <v>17.899999999999999</v>
      </c>
      <c r="L102" s="44"/>
    </row>
    <row r="103" spans="1:12">
      <c r="A103" s="29">
        <v>94.5</v>
      </c>
      <c r="B103" s="47">
        <v>0</v>
      </c>
      <c r="C103" s="36">
        <v>10.9</v>
      </c>
      <c r="D103" s="36">
        <v>11.8</v>
      </c>
      <c r="E103" s="36">
        <v>16.3</v>
      </c>
      <c r="F103" s="36">
        <v>17.7</v>
      </c>
      <c r="G103" s="47">
        <v>0</v>
      </c>
      <c r="H103" s="36">
        <v>10.5</v>
      </c>
      <c r="I103" s="36">
        <v>11.4</v>
      </c>
      <c r="J103" s="36">
        <v>16.399999999999999</v>
      </c>
      <c r="K103" s="36">
        <v>18</v>
      </c>
      <c r="L103" s="44"/>
    </row>
    <row r="104" spans="1:12">
      <c r="A104" s="29">
        <v>95</v>
      </c>
      <c r="B104" s="47">
        <v>0</v>
      </c>
      <c r="C104" s="36">
        <v>11</v>
      </c>
      <c r="D104" s="36">
        <v>11.9</v>
      </c>
      <c r="E104" s="36">
        <v>16.399999999999999</v>
      </c>
      <c r="F104" s="36">
        <v>17.899999999999999</v>
      </c>
      <c r="G104" s="47">
        <v>0</v>
      </c>
      <c r="H104" s="36">
        <v>10.6</v>
      </c>
      <c r="I104" s="36">
        <v>11.5</v>
      </c>
      <c r="J104" s="36">
        <v>16.5</v>
      </c>
      <c r="K104" s="36">
        <v>18.2</v>
      </c>
      <c r="L104" s="44"/>
    </row>
    <row r="105" spans="1:12">
      <c r="A105" s="29">
        <v>95.5</v>
      </c>
      <c r="B105" s="47">
        <v>0</v>
      </c>
      <c r="C105" s="36">
        <v>11.1</v>
      </c>
      <c r="D105" s="36">
        <v>12</v>
      </c>
      <c r="E105" s="36">
        <v>16.5</v>
      </c>
      <c r="F105" s="36">
        <v>18</v>
      </c>
      <c r="G105" s="47">
        <v>0</v>
      </c>
      <c r="H105" s="36">
        <v>10.7</v>
      </c>
      <c r="I105" s="36">
        <v>11.6</v>
      </c>
      <c r="J105" s="36">
        <v>16.7</v>
      </c>
      <c r="K105" s="36">
        <v>18.399999999999999</v>
      </c>
      <c r="L105" s="44"/>
    </row>
    <row r="106" spans="1:12">
      <c r="A106" s="29">
        <v>96</v>
      </c>
      <c r="B106" s="47">
        <v>0</v>
      </c>
      <c r="C106" s="36">
        <v>11.2</v>
      </c>
      <c r="D106" s="36">
        <v>12.1</v>
      </c>
      <c r="E106" s="36">
        <v>16.7</v>
      </c>
      <c r="F106" s="36">
        <v>18.2</v>
      </c>
      <c r="G106" s="47">
        <v>0</v>
      </c>
      <c r="H106" s="36">
        <v>10.8</v>
      </c>
      <c r="I106" s="36">
        <v>11.7</v>
      </c>
      <c r="J106" s="36">
        <v>16.8</v>
      </c>
      <c r="K106" s="36">
        <v>18.600000000000001</v>
      </c>
      <c r="L106" s="44"/>
    </row>
    <row r="107" spans="1:12">
      <c r="A107" s="29">
        <v>96.5</v>
      </c>
      <c r="B107" s="47">
        <v>0</v>
      </c>
      <c r="C107" s="36">
        <v>11.3</v>
      </c>
      <c r="D107" s="36">
        <v>12.2</v>
      </c>
      <c r="E107" s="36">
        <v>16.8</v>
      </c>
      <c r="F107" s="36">
        <v>18.399999999999999</v>
      </c>
      <c r="G107" s="47">
        <v>0</v>
      </c>
      <c r="H107" s="36">
        <v>10.9</v>
      </c>
      <c r="I107" s="36">
        <v>11.8</v>
      </c>
      <c r="J107" s="36">
        <v>17</v>
      </c>
      <c r="K107" s="36">
        <v>18.7</v>
      </c>
      <c r="L107" s="44"/>
    </row>
    <row r="108" spans="1:12">
      <c r="A108" s="29">
        <v>97</v>
      </c>
      <c r="B108" s="47">
        <v>0</v>
      </c>
      <c r="C108" s="36">
        <v>11.4</v>
      </c>
      <c r="D108" s="36">
        <v>12.3</v>
      </c>
      <c r="E108" s="36">
        <v>17</v>
      </c>
      <c r="F108" s="36">
        <v>18.5</v>
      </c>
      <c r="G108" s="47">
        <v>0</v>
      </c>
      <c r="H108" s="36">
        <v>11</v>
      </c>
      <c r="I108" s="36">
        <v>12</v>
      </c>
      <c r="J108" s="36">
        <v>17.100000000000001</v>
      </c>
      <c r="K108" s="36">
        <v>18.899999999999999</v>
      </c>
      <c r="L108" s="44"/>
    </row>
    <row r="109" spans="1:12">
      <c r="A109" s="29">
        <v>97.5</v>
      </c>
      <c r="B109" s="47">
        <v>0</v>
      </c>
      <c r="C109" s="36">
        <v>11.5</v>
      </c>
      <c r="D109" s="36">
        <v>12.4</v>
      </c>
      <c r="E109" s="36">
        <v>17.100000000000001</v>
      </c>
      <c r="F109" s="36">
        <v>18.7</v>
      </c>
      <c r="G109" s="47">
        <v>0</v>
      </c>
      <c r="H109" s="36">
        <v>11.1</v>
      </c>
      <c r="I109" s="36">
        <v>12.1</v>
      </c>
      <c r="J109" s="36">
        <v>17.3</v>
      </c>
      <c r="K109" s="36">
        <v>19.100000000000001</v>
      </c>
      <c r="L109" s="44"/>
    </row>
    <row r="110" spans="1:12">
      <c r="A110" s="29">
        <v>98</v>
      </c>
      <c r="B110" s="47">
        <v>0</v>
      </c>
      <c r="C110" s="36">
        <v>11.6</v>
      </c>
      <c r="D110" s="36">
        <v>12.5</v>
      </c>
      <c r="E110" s="36">
        <v>17.3</v>
      </c>
      <c r="F110" s="36">
        <v>18.899999999999999</v>
      </c>
      <c r="G110" s="47">
        <v>0</v>
      </c>
      <c r="H110" s="36">
        <v>11.2</v>
      </c>
      <c r="I110" s="36">
        <v>12.2</v>
      </c>
      <c r="J110" s="36">
        <v>17.5</v>
      </c>
      <c r="K110" s="36">
        <v>19.3</v>
      </c>
      <c r="L110" s="44"/>
    </row>
    <row r="111" spans="1:12">
      <c r="A111" s="29">
        <v>98.5</v>
      </c>
      <c r="B111" s="47">
        <v>0</v>
      </c>
      <c r="C111" s="36">
        <v>11.7</v>
      </c>
      <c r="D111" s="36">
        <v>12.6</v>
      </c>
      <c r="E111" s="36">
        <v>17.5</v>
      </c>
      <c r="F111" s="36">
        <v>19.100000000000001</v>
      </c>
      <c r="G111" s="47">
        <v>0</v>
      </c>
      <c r="H111" s="36">
        <v>11.3</v>
      </c>
      <c r="I111" s="36">
        <v>12.3</v>
      </c>
      <c r="J111" s="36">
        <v>17.600000000000001</v>
      </c>
      <c r="K111" s="36">
        <v>19.5</v>
      </c>
      <c r="L111" s="44"/>
    </row>
    <row r="112" spans="1:12">
      <c r="A112" s="29">
        <v>99</v>
      </c>
      <c r="B112" s="47">
        <v>0</v>
      </c>
      <c r="C112" s="36">
        <v>11.8</v>
      </c>
      <c r="D112" s="36">
        <v>12.7</v>
      </c>
      <c r="E112" s="36">
        <v>17.600000000000001</v>
      </c>
      <c r="F112" s="36">
        <v>19.2</v>
      </c>
      <c r="G112" s="47">
        <v>0</v>
      </c>
      <c r="H112" s="36">
        <v>11.4</v>
      </c>
      <c r="I112" s="36">
        <v>12.4</v>
      </c>
      <c r="J112" s="36">
        <v>17.8</v>
      </c>
      <c r="K112" s="36">
        <v>19.600000000000001</v>
      </c>
      <c r="L112" s="44"/>
    </row>
    <row r="113" spans="1:12">
      <c r="A113" s="29">
        <v>99.5</v>
      </c>
      <c r="B113" s="47">
        <v>0</v>
      </c>
      <c r="C113" s="36">
        <v>11.9</v>
      </c>
      <c r="D113" s="36">
        <v>12.8</v>
      </c>
      <c r="E113" s="36">
        <v>17.8</v>
      </c>
      <c r="F113" s="36">
        <v>19.399999999999999</v>
      </c>
      <c r="G113" s="47">
        <v>0</v>
      </c>
      <c r="H113" s="36">
        <v>11.5</v>
      </c>
      <c r="I113" s="36">
        <v>12.5</v>
      </c>
      <c r="J113" s="36">
        <v>18</v>
      </c>
      <c r="K113" s="36">
        <v>19.8</v>
      </c>
      <c r="L113" s="44"/>
    </row>
    <row r="114" spans="1:12">
      <c r="A114" s="29">
        <v>100</v>
      </c>
      <c r="B114" s="47">
        <v>0</v>
      </c>
      <c r="C114" s="36">
        <v>12</v>
      </c>
      <c r="D114" s="36">
        <v>12.9</v>
      </c>
      <c r="E114" s="36">
        <v>18</v>
      </c>
      <c r="F114" s="36">
        <v>19.600000000000001</v>
      </c>
      <c r="G114" s="47">
        <v>0</v>
      </c>
      <c r="H114" s="36">
        <v>11.6</v>
      </c>
      <c r="I114" s="36">
        <v>12.6</v>
      </c>
      <c r="J114" s="36">
        <v>18.100000000000001</v>
      </c>
      <c r="K114" s="36">
        <v>20</v>
      </c>
      <c r="L114" s="44"/>
    </row>
    <row r="115" spans="1:12">
      <c r="A115" s="29">
        <v>100.5</v>
      </c>
      <c r="B115" s="47">
        <v>0</v>
      </c>
      <c r="C115" s="36">
        <v>12.1</v>
      </c>
      <c r="D115" s="36">
        <v>13</v>
      </c>
      <c r="E115" s="36">
        <v>18.100000000000001</v>
      </c>
      <c r="F115" s="36">
        <v>19.8</v>
      </c>
      <c r="G115" s="47">
        <v>0</v>
      </c>
      <c r="H115" s="36">
        <v>11.7</v>
      </c>
      <c r="I115" s="36">
        <v>12.7</v>
      </c>
      <c r="J115" s="36">
        <v>18.3</v>
      </c>
      <c r="K115" s="36">
        <v>20.2</v>
      </c>
      <c r="L115" s="44"/>
    </row>
    <row r="116" spans="1:12">
      <c r="A116" s="29">
        <v>101</v>
      </c>
      <c r="B116" s="47">
        <v>0</v>
      </c>
      <c r="C116" s="36">
        <v>12.2</v>
      </c>
      <c r="D116" s="36">
        <v>13.2</v>
      </c>
      <c r="E116" s="36">
        <v>18.3</v>
      </c>
      <c r="F116" s="36">
        <v>20</v>
      </c>
      <c r="G116" s="47">
        <v>0</v>
      </c>
      <c r="H116" s="36">
        <v>11.8</v>
      </c>
      <c r="I116" s="36">
        <v>12.8</v>
      </c>
      <c r="J116" s="36">
        <v>18.5</v>
      </c>
      <c r="K116" s="36">
        <v>20.399999999999999</v>
      </c>
      <c r="L116" s="44"/>
    </row>
    <row r="117" spans="1:12">
      <c r="A117" s="29">
        <v>101.5</v>
      </c>
      <c r="B117" s="47">
        <v>0</v>
      </c>
      <c r="C117" s="36">
        <v>12.3</v>
      </c>
      <c r="D117" s="36">
        <v>13.3</v>
      </c>
      <c r="E117" s="36">
        <v>18.5</v>
      </c>
      <c r="F117" s="36">
        <v>20.2</v>
      </c>
      <c r="G117" s="47">
        <v>0</v>
      </c>
      <c r="H117" s="36">
        <v>11.9</v>
      </c>
      <c r="I117" s="36">
        <v>13</v>
      </c>
      <c r="J117" s="36">
        <v>18.7</v>
      </c>
      <c r="K117" s="36">
        <v>20.6</v>
      </c>
      <c r="L117" s="44"/>
    </row>
    <row r="118" spans="1:12">
      <c r="A118" s="29">
        <v>102</v>
      </c>
      <c r="B118" s="47">
        <v>0</v>
      </c>
      <c r="C118" s="36">
        <v>12.4</v>
      </c>
      <c r="D118" s="36">
        <v>13.4</v>
      </c>
      <c r="E118" s="36">
        <v>18.7</v>
      </c>
      <c r="F118" s="36">
        <v>20.399999999999999</v>
      </c>
      <c r="G118" s="47">
        <v>0</v>
      </c>
      <c r="H118" s="36">
        <v>12</v>
      </c>
      <c r="I118" s="36">
        <v>13.1</v>
      </c>
      <c r="J118" s="36">
        <v>18.899999999999999</v>
      </c>
      <c r="K118" s="36">
        <v>20.8</v>
      </c>
      <c r="L118" s="44"/>
    </row>
    <row r="119" spans="1:12">
      <c r="A119" s="29">
        <v>102.5</v>
      </c>
      <c r="B119" s="47">
        <v>0</v>
      </c>
      <c r="C119" s="36">
        <v>12.5</v>
      </c>
      <c r="D119" s="36">
        <v>13.5</v>
      </c>
      <c r="E119" s="36">
        <v>18.8</v>
      </c>
      <c r="F119" s="36">
        <v>20.6</v>
      </c>
      <c r="G119" s="47">
        <v>0</v>
      </c>
      <c r="H119" s="36">
        <v>12.1</v>
      </c>
      <c r="I119" s="36">
        <v>13.2</v>
      </c>
      <c r="J119" s="36">
        <v>19</v>
      </c>
      <c r="K119" s="36">
        <v>21</v>
      </c>
      <c r="L119" s="44"/>
    </row>
    <row r="120" spans="1:12">
      <c r="A120" s="29">
        <v>103</v>
      </c>
      <c r="B120" s="47">
        <v>0</v>
      </c>
      <c r="C120" s="36">
        <v>12.6</v>
      </c>
      <c r="D120" s="36">
        <v>13.6</v>
      </c>
      <c r="E120" s="36">
        <v>19</v>
      </c>
      <c r="F120" s="36">
        <v>20.8</v>
      </c>
      <c r="G120" s="47">
        <v>0</v>
      </c>
      <c r="H120" s="36">
        <v>12.3</v>
      </c>
      <c r="I120" s="36">
        <v>13.3</v>
      </c>
      <c r="J120" s="36">
        <v>19.2</v>
      </c>
      <c r="K120" s="36">
        <v>21.3</v>
      </c>
      <c r="L120" s="44"/>
    </row>
    <row r="121" spans="1:12">
      <c r="A121" s="29">
        <v>103.5</v>
      </c>
      <c r="B121" s="47">
        <v>0</v>
      </c>
      <c r="C121" s="36">
        <v>12.7</v>
      </c>
      <c r="D121" s="36">
        <v>13.7</v>
      </c>
      <c r="E121" s="36">
        <v>19.2</v>
      </c>
      <c r="F121" s="36">
        <v>21</v>
      </c>
      <c r="G121" s="47">
        <v>0</v>
      </c>
      <c r="H121" s="36">
        <v>12.4</v>
      </c>
      <c r="I121" s="36">
        <v>13.5</v>
      </c>
      <c r="J121" s="36">
        <v>19.399999999999999</v>
      </c>
      <c r="K121" s="36">
        <v>21.5</v>
      </c>
      <c r="L121" s="44"/>
    </row>
    <row r="122" spans="1:12">
      <c r="A122" s="29">
        <v>104</v>
      </c>
      <c r="B122" s="47">
        <v>0</v>
      </c>
      <c r="C122" s="36">
        <v>12.8</v>
      </c>
      <c r="D122" s="36">
        <v>13.9</v>
      </c>
      <c r="E122" s="36">
        <v>19.399999999999999</v>
      </c>
      <c r="F122" s="36">
        <v>21.2</v>
      </c>
      <c r="G122" s="47">
        <v>0</v>
      </c>
      <c r="H122" s="36">
        <v>12.5</v>
      </c>
      <c r="I122" s="36">
        <v>13.6</v>
      </c>
      <c r="J122" s="36">
        <v>19.600000000000001</v>
      </c>
      <c r="K122" s="36">
        <v>21.7</v>
      </c>
      <c r="L122" s="44"/>
    </row>
    <row r="123" spans="1:12">
      <c r="A123" s="29">
        <v>104.5</v>
      </c>
      <c r="B123" s="47">
        <v>0</v>
      </c>
      <c r="C123" s="36">
        <v>12.9</v>
      </c>
      <c r="D123" s="36">
        <v>14</v>
      </c>
      <c r="E123" s="36">
        <v>19.600000000000001</v>
      </c>
      <c r="F123" s="36">
        <v>21.5</v>
      </c>
      <c r="G123" s="47">
        <v>0</v>
      </c>
      <c r="H123" s="36">
        <v>12.6</v>
      </c>
      <c r="I123" s="36">
        <v>13.7</v>
      </c>
      <c r="J123" s="36">
        <v>19.8</v>
      </c>
      <c r="K123" s="36">
        <v>21.9</v>
      </c>
      <c r="L123" s="44"/>
    </row>
    <row r="124" spans="1:12">
      <c r="A124" s="29">
        <v>105</v>
      </c>
      <c r="B124" s="47">
        <v>0</v>
      </c>
      <c r="C124" s="36">
        <v>13</v>
      </c>
      <c r="D124" s="36">
        <v>14.1</v>
      </c>
      <c r="E124" s="36">
        <v>19.8</v>
      </c>
      <c r="F124" s="36">
        <v>21.7</v>
      </c>
      <c r="G124" s="47">
        <v>0</v>
      </c>
      <c r="H124" s="36">
        <v>12.7</v>
      </c>
      <c r="I124" s="36">
        <v>13.8</v>
      </c>
      <c r="J124" s="36">
        <v>20</v>
      </c>
      <c r="K124" s="36">
        <v>22.2</v>
      </c>
      <c r="L124" s="44"/>
    </row>
    <row r="125" spans="1:12">
      <c r="A125" s="29">
        <v>105.5</v>
      </c>
      <c r="B125" s="47">
        <v>0</v>
      </c>
      <c r="C125" s="36">
        <v>13.2</v>
      </c>
      <c r="D125" s="36">
        <v>14.2</v>
      </c>
      <c r="E125" s="36">
        <v>20</v>
      </c>
      <c r="F125" s="36">
        <v>21.9</v>
      </c>
      <c r="G125" s="47">
        <v>0</v>
      </c>
      <c r="H125" s="36">
        <v>12.8</v>
      </c>
      <c r="I125" s="36">
        <v>14</v>
      </c>
      <c r="J125" s="36">
        <v>20.2</v>
      </c>
      <c r="K125" s="36">
        <v>22.4</v>
      </c>
      <c r="L125" s="44"/>
    </row>
    <row r="126" spans="1:12">
      <c r="A126" s="29">
        <v>106</v>
      </c>
      <c r="B126" s="47">
        <v>0</v>
      </c>
      <c r="C126" s="36">
        <v>13.3</v>
      </c>
      <c r="D126" s="36">
        <v>14.4</v>
      </c>
      <c r="E126" s="36">
        <v>20.2</v>
      </c>
      <c r="F126" s="36">
        <v>22.1</v>
      </c>
      <c r="G126" s="47">
        <v>0</v>
      </c>
      <c r="H126" s="36">
        <v>13</v>
      </c>
      <c r="I126" s="36">
        <v>14.1</v>
      </c>
      <c r="J126" s="36">
        <v>20.5</v>
      </c>
      <c r="K126" s="36">
        <v>22.6</v>
      </c>
      <c r="L126" s="44"/>
    </row>
    <row r="127" spans="1:12">
      <c r="A127" s="29">
        <v>106.5</v>
      </c>
      <c r="B127" s="47">
        <v>0</v>
      </c>
      <c r="C127" s="36">
        <v>13.4</v>
      </c>
      <c r="D127" s="36">
        <v>14.5</v>
      </c>
      <c r="E127" s="36">
        <v>20.399999999999999</v>
      </c>
      <c r="F127" s="36">
        <v>22.4</v>
      </c>
      <c r="G127" s="47">
        <v>0</v>
      </c>
      <c r="H127" s="36">
        <v>13.1</v>
      </c>
      <c r="I127" s="36">
        <v>14.3</v>
      </c>
      <c r="J127" s="36">
        <v>20.7</v>
      </c>
      <c r="K127" s="36">
        <v>22.9</v>
      </c>
      <c r="L127" s="44"/>
    </row>
    <row r="128" spans="1:12">
      <c r="A128" s="29">
        <v>107</v>
      </c>
      <c r="B128" s="47">
        <v>0</v>
      </c>
      <c r="C128" s="36">
        <v>13.5</v>
      </c>
      <c r="D128" s="36">
        <v>14.6</v>
      </c>
      <c r="E128" s="36">
        <v>20.6</v>
      </c>
      <c r="F128" s="36">
        <v>22.6</v>
      </c>
      <c r="G128" s="47">
        <v>0</v>
      </c>
      <c r="H128" s="36">
        <v>13.2</v>
      </c>
      <c r="I128" s="36">
        <v>14.4</v>
      </c>
      <c r="J128" s="36">
        <v>20.9</v>
      </c>
      <c r="K128" s="36">
        <v>23.1</v>
      </c>
      <c r="L128" s="44"/>
    </row>
    <row r="129" spans="1:12">
      <c r="A129" s="29">
        <v>107.5</v>
      </c>
      <c r="B129" s="47">
        <v>0</v>
      </c>
      <c r="C129" s="36">
        <v>13.6</v>
      </c>
      <c r="D129" s="36">
        <v>14.7</v>
      </c>
      <c r="E129" s="36">
        <v>20.8</v>
      </c>
      <c r="F129" s="36">
        <v>22.8</v>
      </c>
      <c r="G129" s="47">
        <v>0</v>
      </c>
      <c r="H129" s="36">
        <v>13.3</v>
      </c>
      <c r="I129" s="36">
        <v>14.5</v>
      </c>
      <c r="J129" s="36">
        <v>21.1</v>
      </c>
      <c r="K129" s="36">
        <v>23.4</v>
      </c>
      <c r="L129" s="44"/>
    </row>
    <row r="130" spans="1:12">
      <c r="A130" s="29">
        <v>108</v>
      </c>
      <c r="B130" s="47">
        <v>0</v>
      </c>
      <c r="C130" s="36">
        <v>13.7</v>
      </c>
      <c r="D130" s="36">
        <v>14.9</v>
      </c>
      <c r="E130" s="36">
        <v>21</v>
      </c>
      <c r="F130" s="36">
        <v>23.1</v>
      </c>
      <c r="G130" s="47">
        <v>0</v>
      </c>
      <c r="H130" s="36">
        <v>13.5</v>
      </c>
      <c r="I130" s="36">
        <v>14.7</v>
      </c>
      <c r="J130" s="36">
        <v>21.3</v>
      </c>
      <c r="K130" s="36">
        <v>23.6</v>
      </c>
      <c r="L130" s="44"/>
    </row>
    <row r="131" spans="1:12">
      <c r="A131" s="29">
        <v>108.5</v>
      </c>
      <c r="B131" s="47">
        <v>0</v>
      </c>
      <c r="C131" s="36">
        <v>13.8</v>
      </c>
      <c r="D131" s="36">
        <v>15</v>
      </c>
      <c r="E131" s="36">
        <v>21.2</v>
      </c>
      <c r="F131" s="36">
        <v>23.3</v>
      </c>
      <c r="G131" s="47">
        <v>0</v>
      </c>
      <c r="H131" s="36">
        <v>13.6</v>
      </c>
      <c r="I131" s="36">
        <v>14.8</v>
      </c>
      <c r="J131" s="36">
        <v>21.6</v>
      </c>
      <c r="K131" s="36">
        <v>23.9</v>
      </c>
      <c r="L131" s="44"/>
    </row>
    <row r="132" spans="1:12">
      <c r="A132" s="29">
        <v>109</v>
      </c>
      <c r="B132" s="47">
        <v>0</v>
      </c>
      <c r="C132" s="36">
        <v>14</v>
      </c>
      <c r="D132" s="36">
        <v>15.1</v>
      </c>
      <c r="E132" s="36">
        <v>21.4</v>
      </c>
      <c r="F132" s="36">
        <v>23.6</v>
      </c>
      <c r="G132" s="47">
        <v>0</v>
      </c>
      <c r="H132" s="36">
        <v>13.7</v>
      </c>
      <c r="I132" s="36">
        <v>15</v>
      </c>
      <c r="J132" s="36">
        <v>21.8</v>
      </c>
      <c r="K132" s="36">
        <v>24.2</v>
      </c>
      <c r="L132" s="44"/>
    </row>
    <row r="133" spans="1:12">
      <c r="A133" s="29">
        <v>109.5</v>
      </c>
      <c r="B133" s="47">
        <v>0</v>
      </c>
      <c r="C133" s="36">
        <v>14.1</v>
      </c>
      <c r="D133" s="36">
        <v>15.3</v>
      </c>
      <c r="E133" s="36">
        <v>21.7</v>
      </c>
      <c r="F133" s="36">
        <v>23.8</v>
      </c>
      <c r="G133" s="47">
        <v>0</v>
      </c>
      <c r="H133" s="36">
        <v>13.9</v>
      </c>
      <c r="I133" s="36">
        <v>15.1</v>
      </c>
      <c r="J133" s="36">
        <v>22</v>
      </c>
      <c r="K133" s="36">
        <v>24.4</v>
      </c>
      <c r="L133" s="44"/>
    </row>
    <row r="134" spans="1:12">
      <c r="A134" s="29">
        <v>110</v>
      </c>
      <c r="B134" s="47">
        <v>0</v>
      </c>
      <c r="C134" s="36">
        <v>14.2</v>
      </c>
      <c r="D134" s="36">
        <v>15.4</v>
      </c>
      <c r="E134" s="36">
        <v>21.9</v>
      </c>
      <c r="F134" s="36">
        <v>24.1</v>
      </c>
      <c r="G134" s="47">
        <v>0</v>
      </c>
      <c r="H134" s="36">
        <v>14</v>
      </c>
      <c r="I134" s="36">
        <v>15.3</v>
      </c>
      <c r="J134" s="36">
        <v>22.3</v>
      </c>
      <c r="K134" s="36">
        <v>24.7</v>
      </c>
      <c r="L134" s="44"/>
    </row>
    <row r="138" spans="1:12" ht="20.399999999999999">
      <c r="A138" s="133" t="s">
        <v>95</v>
      </c>
      <c r="B138" s="133"/>
      <c r="C138" s="133"/>
      <c r="D138" s="133"/>
      <c r="E138" s="133"/>
      <c r="F138" s="133"/>
      <c r="G138" s="133"/>
      <c r="H138" s="133"/>
      <c r="I138" s="133"/>
      <c r="J138" s="133"/>
      <c r="K138" s="133"/>
    </row>
    <row r="139" spans="1:12">
      <c r="A139" s="43"/>
      <c r="B139" s="134" t="s">
        <v>10</v>
      </c>
      <c r="C139" s="134"/>
      <c r="D139" s="134"/>
      <c r="E139" s="134"/>
      <c r="F139" s="134"/>
      <c r="G139" s="134" t="s">
        <v>11</v>
      </c>
      <c r="H139" s="134"/>
      <c r="I139" s="134"/>
      <c r="J139" s="134"/>
      <c r="K139" s="134"/>
    </row>
    <row r="140" spans="1:12" ht="31.2">
      <c r="A140" s="40"/>
      <c r="B140" s="39" t="s">
        <v>94</v>
      </c>
      <c r="C140" s="40" t="s">
        <v>35</v>
      </c>
      <c r="D140" s="40" t="s">
        <v>25</v>
      </c>
      <c r="E140" s="40" t="s">
        <v>33</v>
      </c>
      <c r="F140" s="40" t="s">
        <v>37</v>
      </c>
      <c r="G140" s="39" t="s">
        <v>94</v>
      </c>
      <c r="H140" s="40" t="s">
        <v>35</v>
      </c>
      <c r="I140" s="40" t="s">
        <v>25</v>
      </c>
      <c r="J140" s="40" t="s">
        <v>33</v>
      </c>
      <c r="K140" s="40" t="s">
        <v>37</v>
      </c>
    </row>
    <row r="141" spans="1:12">
      <c r="A141" s="29">
        <v>65</v>
      </c>
      <c r="B141" s="36">
        <v>0</v>
      </c>
      <c r="C141" s="36">
        <v>5.9</v>
      </c>
      <c r="D141" s="36">
        <v>6.3</v>
      </c>
      <c r="E141" s="36">
        <v>8.8000000000000007</v>
      </c>
      <c r="F141" s="36">
        <v>9.6</v>
      </c>
      <c r="G141" s="36">
        <v>0</v>
      </c>
      <c r="H141" s="36">
        <v>5.6</v>
      </c>
      <c r="I141" s="36">
        <v>6.1</v>
      </c>
      <c r="J141" s="36">
        <v>8.6999999999999993</v>
      </c>
      <c r="K141" s="36">
        <v>9.6999999999999993</v>
      </c>
      <c r="L141" s="44"/>
    </row>
    <row r="142" spans="1:12">
      <c r="A142" s="29">
        <v>65.5</v>
      </c>
      <c r="B142" s="36">
        <v>0</v>
      </c>
      <c r="C142" s="36">
        <v>6</v>
      </c>
      <c r="D142" s="36">
        <v>6.4</v>
      </c>
      <c r="E142" s="36">
        <v>8.9</v>
      </c>
      <c r="F142" s="36">
        <v>9.8000000000000007</v>
      </c>
      <c r="G142" s="36">
        <v>0</v>
      </c>
      <c r="H142" s="36">
        <v>5.7</v>
      </c>
      <c r="I142" s="36">
        <v>6.2</v>
      </c>
      <c r="J142" s="36">
        <v>8.9</v>
      </c>
      <c r="K142" s="36">
        <v>9.8000000000000007</v>
      </c>
      <c r="L142" s="44"/>
    </row>
    <row r="143" spans="1:12">
      <c r="A143" s="29">
        <v>66</v>
      </c>
      <c r="B143" s="36">
        <v>0</v>
      </c>
      <c r="C143" s="36">
        <v>6.1</v>
      </c>
      <c r="D143" s="36">
        <v>6.5</v>
      </c>
      <c r="E143" s="36">
        <v>9.1</v>
      </c>
      <c r="F143" s="36">
        <v>9.9</v>
      </c>
      <c r="G143" s="36">
        <v>0</v>
      </c>
      <c r="H143" s="36">
        <v>5.8</v>
      </c>
      <c r="I143" s="36">
        <v>6.3</v>
      </c>
      <c r="J143" s="36">
        <v>9</v>
      </c>
      <c r="K143" s="36">
        <v>10</v>
      </c>
      <c r="L143" s="44"/>
    </row>
    <row r="144" spans="1:12">
      <c r="A144" s="29">
        <v>66.5</v>
      </c>
      <c r="B144" s="36">
        <v>0</v>
      </c>
      <c r="C144" s="36">
        <v>6.1</v>
      </c>
      <c r="D144" s="36">
        <v>6.6</v>
      </c>
      <c r="E144" s="36">
        <v>9.1999999999999993</v>
      </c>
      <c r="F144" s="36">
        <v>10.1</v>
      </c>
      <c r="G144" s="36">
        <v>0</v>
      </c>
      <c r="H144" s="36">
        <v>5.8</v>
      </c>
      <c r="I144" s="36">
        <v>6.4</v>
      </c>
      <c r="J144" s="36">
        <v>9.1</v>
      </c>
      <c r="K144" s="36">
        <v>10.1</v>
      </c>
      <c r="L144" s="44"/>
    </row>
    <row r="145" spans="1:12">
      <c r="A145" s="29">
        <v>67</v>
      </c>
      <c r="B145" s="36">
        <v>0</v>
      </c>
      <c r="C145" s="36">
        <v>6.2</v>
      </c>
      <c r="D145" s="36">
        <v>6.7</v>
      </c>
      <c r="E145" s="36">
        <v>9.4</v>
      </c>
      <c r="F145" s="36">
        <v>10.199999999999999</v>
      </c>
      <c r="G145" s="36">
        <v>0</v>
      </c>
      <c r="H145" s="36">
        <v>5.9</v>
      </c>
      <c r="I145" s="36">
        <v>6.4</v>
      </c>
      <c r="J145" s="36">
        <v>9.3000000000000007</v>
      </c>
      <c r="K145" s="36">
        <v>10.199999999999999</v>
      </c>
      <c r="L145" s="44"/>
    </row>
    <row r="146" spans="1:12">
      <c r="A146" s="29">
        <v>67.5</v>
      </c>
      <c r="B146" s="36">
        <v>0</v>
      </c>
      <c r="C146" s="36">
        <v>6.3</v>
      </c>
      <c r="D146" s="36">
        <v>6.8</v>
      </c>
      <c r="E146" s="36">
        <v>9.5</v>
      </c>
      <c r="F146" s="36">
        <v>10.4</v>
      </c>
      <c r="G146" s="36">
        <v>0</v>
      </c>
      <c r="H146" s="36">
        <v>6</v>
      </c>
      <c r="I146" s="36">
        <v>6.5</v>
      </c>
      <c r="J146" s="36">
        <v>9.4</v>
      </c>
      <c r="K146" s="36">
        <v>10.4</v>
      </c>
      <c r="L146" s="44"/>
    </row>
    <row r="147" spans="1:12">
      <c r="A147" s="29">
        <v>68</v>
      </c>
      <c r="B147" s="36">
        <v>0</v>
      </c>
      <c r="C147" s="36">
        <v>6.4</v>
      </c>
      <c r="D147" s="36">
        <v>6.9</v>
      </c>
      <c r="E147" s="36">
        <v>9.6</v>
      </c>
      <c r="F147" s="36">
        <v>10.5</v>
      </c>
      <c r="G147" s="36">
        <v>0</v>
      </c>
      <c r="H147" s="36">
        <v>6.1</v>
      </c>
      <c r="I147" s="36">
        <v>6.6</v>
      </c>
      <c r="J147" s="36">
        <v>9.5</v>
      </c>
      <c r="K147" s="36">
        <v>10.5</v>
      </c>
      <c r="L147" s="44"/>
    </row>
    <row r="148" spans="1:12">
      <c r="A148" s="29">
        <v>68.5</v>
      </c>
      <c r="B148" s="36">
        <v>0</v>
      </c>
      <c r="C148" s="36">
        <v>6.5</v>
      </c>
      <c r="D148" s="36">
        <v>7</v>
      </c>
      <c r="E148" s="36">
        <v>9.8000000000000007</v>
      </c>
      <c r="F148" s="36">
        <v>10.7</v>
      </c>
      <c r="G148" s="36">
        <v>0</v>
      </c>
      <c r="H148" s="36">
        <v>6.2</v>
      </c>
      <c r="I148" s="36">
        <v>6.7</v>
      </c>
      <c r="J148" s="36">
        <v>9.6999999999999993</v>
      </c>
      <c r="K148" s="36">
        <v>10.7</v>
      </c>
      <c r="L148" s="44"/>
    </row>
    <row r="149" spans="1:12">
      <c r="A149" s="29">
        <v>69</v>
      </c>
      <c r="B149" s="36">
        <v>0</v>
      </c>
      <c r="C149" s="36">
        <v>6.6</v>
      </c>
      <c r="D149" s="36">
        <v>7.1</v>
      </c>
      <c r="E149" s="36">
        <v>9.9</v>
      </c>
      <c r="F149" s="36">
        <v>10.8</v>
      </c>
      <c r="G149" s="36">
        <v>0</v>
      </c>
      <c r="H149" s="36">
        <v>6.3</v>
      </c>
      <c r="I149" s="36">
        <v>6.8</v>
      </c>
      <c r="J149" s="36">
        <v>9.8000000000000007</v>
      </c>
      <c r="K149" s="36">
        <v>10.8</v>
      </c>
      <c r="L149" s="44"/>
    </row>
    <row r="150" spans="1:12">
      <c r="A150" s="29">
        <v>69.5</v>
      </c>
      <c r="B150" s="36">
        <v>0</v>
      </c>
      <c r="C150" s="36">
        <v>6.7</v>
      </c>
      <c r="D150" s="36">
        <v>7.2</v>
      </c>
      <c r="E150" s="36">
        <v>10</v>
      </c>
      <c r="F150" s="36">
        <v>11</v>
      </c>
      <c r="G150" s="36">
        <v>0</v>
      </c>
      <c r="H150" s="36">
        <v>6.3</v>
      </c>
      <c r="I150" s="36">
        <v>6.9</v>
      </c>
      <c r="J150" s="36">
        <v>9.9</v>
      </c>
      <c r="K150" s="36">
        <v>10.9</v>
      </c>
      <c r="L150" s="44"/>
    </row>
    <row r="151" spans="1:12">
      <c r="A151" s="29">
        <v>70</v>
      </c>
      <c r="B151" s="36">
        <v>0</v>
      </c>
      <c r="C151" s="36">
        <v>6.8</v>
      </c>
      <c r="D151" s="36">
        <v>7.3</v>
      </c>
      <c r="E151" s="36">
        <v>10.199999999999999</v>
      </c>
      <c r="F151" s="36">
        <v>11.1</v>
      </c>
      <c r="G151" s="36">
        <v>0</v>
      </c>
      <c r="H151" s="36">
        <v>6.4</v>
      </c>
      <c r="I151" s="36">
        <v>7</v>
      </c>
      <c r="J151" s="36">
        <v>10</v>
      </c>
      <c r="K151" s="36">
        <v>11.1</v>
      </c>
      <c r="L151" s="44"/>
    </row>
    <row r="152" spans="1:12">
      <c r="A152" s="29">
        <v>70.5</v>
      </c>
      <c r="B152" s="36">
        <v>0</v>
      </c>
      <c r="C152" s="36">
        <v>6.9</v>
      </c>
      <c r="D152" s="36">
        <v>7.4</v>
      </c>
      <c r="E152" s="36">
        <v>10.3</v>
      </c>
      <c r="F152" s="36">
        <v>11.3</v>
      </c>
      <c r="G152" s="36">
        <v>0</v>
      </c>
      <c r="H152" s="36">
        <v>6.5</v>
      </c>
      <c r="I152" s="36">
        <v>7.1</v>
      </c>
      <c r="J152" s="36">
        <v>10.1</v>
      </c>
      <c r="K152" s="36">
        <v>11.2</v>
      </c>
      <c r="L152" s="44"/>
    </row>
    <row r="153" spans="1:12">
      <c r="A153" s="29">
        <v>71</v>
      </c>
      <c r="B153" s="36">
        <v>0</v>
      </c>
      <c r="C153" s="36">
        <v>6.9</v>
      </c>
      <c r="D153" s="36">
        <v>7.5</v>
      </c>
      <c r="E153" s="36">
        <v>10.4</v>
      </c>
      <c r="F153" s="36">
        <v>11.4</v>
      </c>
      <c r="G153" s="36">
        <v>0</v>
      </c>
      <c r="H153" s="36">
        <v>6.6</v>
      </c>
      <c r="I153" s="36">
        <v>7.1</v>
      </c>
      <c r="J153" s="36">
        <v>10.3</v>
      </c>
      <c r="K153" s="36">
        <v>11.3</v>
      </c>
      <c r="L153" s="44"/>
    </row>
    <row r="154" spans="1:12">
      <c r="A154" s="29">
        <v>71.5</v>
      </c>
      <c r="B154" s="36">
        <v>0</v>
      </c>
      <c r="C154" s="36">
        <v>7</v>
      </c>
      <c r="D154" s="36">
        <v>7.6</v>
      </c>
      <c r="E154" s="36">
        <v>10.6</v>
      </c>
      <c r="F154" s="36">
        <v>11.6</v>
      </c>
      <c r="G154" s="36">
        <v>0</v>
      </c>
      <c r="H154" s="36">
        <v>6.7</v>
      </c>
      <c r="I154" s="36">
        <v>7.2</v>
      </c>
      <c r="J154" s="36">
        <v>10.4</v>
      </c>
      <c r="K154" s="36">
        <v>11.5</v>
      </c>
      <c r="L154" s="44"/>
    </row>
    <row r="155" spans="1:12">
      <c r="A155" s="29">
        <v>72</v>
      </c>
      <c r="B155" s="36">
        <v>0</v>
      </c>
      <c r="C155" s="36">
        <v>7.1</v>
      </c>
      <c r="D155" s="36">
        <v>7.7</v>
      </c>
      <c r="E155" s="36">
        <v>10.7</v>
      </c>
      <c r="F155" s="36">
        <v>11.7</v>
      </c>
      <c r="G155" s="36">
        <v>0</v>
      </c>
      <c r="H155" s="36">
        <v>6.7</v>
      </c>
      <c r="I155" s="36">
        <v>7.3</v>
      </c>
      <c r="J155" s="36">
        <v>10.5</v>
      </c>
      <c r="K155" s="36">
        <v>11.6</v>
      </c>
      <c r="L155" s="44"/>
    </row>
    <row r="156" spans="1:12">
      <c r="A156" s="29">
        <v>72.5</v>
      </c>
      <c r="B156" s="36">
        <v>0</v>
      </c>
      <c r="C156" s="36">
        <v>7.2</v>
      </c>
      <c r="D156" s="36">
        <v>7.8</v>
      </c>
      <c r="E156" s="36">
        <v>10.8</v>
      </c>
      <c r="F156" s="36">
        <v>11.8</v>
      </c>
      <c r="G156" s="36">
        <v>0</v>
      </c>
      <c r="H156" s="36">
        <v>6.8</v>
      </c>
      <c r="I156" s="36">
        <v>7.4</v>
      </c>
      <c r="J156" s="36">
        <v>10.6</v>
      </c>
      <c r="K156" s="36">
        <v>11.7</v>
      </c>
      <c r="L156" s="44"/>
    </row>
    <row r="157" spans="1:12">
      <c r="A157" s="29">
        <v>73</v>
      </c>
      <c r="B157" s="36">
        <v>0</v>
      </c>
      <c r="C157" s="36">
        <v>7.3</v>
      </c>
      <c r="D157" s="36">
        <v>7.9</v>
      </c>
      <c r="E157" s="36">
        <v>11</v>
      </c>
      <c r="F157" s="36">
        <v>12</v>
      </c>
      <c r="G157" s="36">
        <v>0</v>
      </c>
      <c r="H157" s="36">
        <v>6.9</v>
      </c>
      <c r="I157" s="36">
        <v>7.5</v>
      </c>
      <c r="J157" s="36">
        <v>10.7</v>
      </c>
      <c r="K157" s="36">
        <v>11.8</v>
      </c>
      <c r="L157" s="44"/>
    </row>
    <row r="158" spans="1:12">
      <c r="A158" s="29">
        <v>73.5</v>
      </c>
      <c r="B158" s="36">
        <v>0</v>
      </c>
      <c r="C158" s="36">
        <v>7.4</v>
      </c>
      <c r="D158" s="36">
        <v>7.9</v>
      </c>
      <c r="E158" s="36">
        <v>11.1</v>
      </c>
      <c r="F158" s="36">
        <v>12.1</v>
      </c>
      <c r="G158" s="36">
        <v>0</v>
      </c>
      <c r="H158" s="36">
        <v>7</v>
      </c>
      <c r="I158" s="36">
        <v>7.6</v>
      </c>
      <c r="J158" s="36">
        <v>10.8</v>
      </c>
      <c r="K158" s="36">
        <v>12</v>
      </c>
      <c r="L158" s="44"/>
    </row>
    <row r="159" spans="1:12">
      <c r="A159" s="29">
        <v>74</v>
      </c>
      <c r="B159" s="36">
        <v>0</v>
      </c>
      <c r="C159" s="36">
        <v>7.4</v>
      </c>
      <c r="D159" s="36">
        <v>8</v>
      </c>
      <c r="E159" s="36">
        <v>11.2</v>
      </c>
      <c r="F159" s="36">
        <v>12.2</v>
      </c>
      <c r="G159" s="36">
        <v>0</v>
      </c>
      <c r="H159" s="36">
        <v>7</v>
      </c>
      <c r="I159" s="36">
        <v>7.6</v>
      </c>
      <c r="J159" s="36">
        <v>11</v>
      </c>
      <c r="K159" s="36">
        <v>12.1</v>
      </c>
      <c r="L159" s="44"/>
    </row>
    <row r="160" spans="1:12">
      <c r="A160" s="29">
        <v>74.5</v>
      </c>
      <c r="B160" s="36">
        <v>0</v>
      </c>
      <c r="C160" s="36">
        <v>7.5</v>
      </c>
      <c r="D160" s="36">
        <v>8.1</v>
      </c>
      <c r="E160" s="36">
        <v>11.3</v>
      </c>
      <c r="F160" s="36">
        <v>12.4</v>
      </c>
      <c r="G160" s="36">
        <v>0</v>
      </c>
      <c r="H160" s="36">
        <v>7.1</v>
      </c>
      <c r="I160" s="36">
        <v>7.7</v>
      </c>
      <c r="J160" s="36">
        <v>11.1</v>
      </c>
      <c r="K160" s="36">
        <v>12.2</v>
      </c>
      <c r="L160" s="44"/>
    </row>
    <row r="161" spans="1:12">
      <c r="A161" s="29">
        <v>75</v>
      </c>
      <c r="B161" s="36">
        <v>0</v>
      </c>
      <c r="C161" s="36">
        <v>7.6</v>
      </c>
      <c r="D161" s="36">
        <v>8.1999999999999993</v>
      </c>
      <c r="E161" s="36">
        <v>11.4</v>
      </c>
      <c r="F161" s="36">
        <v>12.5</v>
      </c>
      <c r="G161" s="36">
        <v>0</v>
      </c>
      <c r="H161" s="36">
        <v>7.2</v>
      </c>
      <c r="I161" s="36">
        <v>7.8</v>
      </c>
      <c r="J161" s="36">
        <v>11.2</v>
      </c>
      <c r="K161" s="36">
        <v>12.3</v>
      </c>
      <c r="L161" s="44"/>
    </row>
    <row r="162" spans="1:12">
      <c r="A162" s="29">
        <v>75.5</v>
      </c>
      <c r="B162" s="36">
        <v>0</v>
      </c>
      <c r="C162" s="36">
        <v>7.7</v>
      </c>
      <c r="D162" s="36">
        <v>8.3000000000000007</v>
      </c>
      <c r="E162" s="36">
        <v>11.6</v>
      </c>
      <c r="F162" s="36">
        <v>12.6</v>
      </c>
      <c r="G162" s="36">
        <v>0</v>
      </c>
      <c r="H162" s="36">
        <v>7.2</v>
      </c>
      <c r="I162" s="36">
        <v>7.9</v>
      </c>
      <c r="J162" s="36">
        <v>11.3</v>
      </c>
      <c r="K162" s="36">
        <v>12.5</v>
      </c>
      <c r="L162" s="44"/>
    </row>
    <row r="163" spans="1:12">
      <c r="A163" s="29">
        <v>76</v>
      </c>
      <c r="B163" s="36">
        <v>0</v>
      </c>
      <c r="C163" s="36">
        <v>7.7</v>
      </c>
      <c r="D163" s="36">
        <v>8.4</v>
      </c>
      <c r="E163" s="36">
        <v>11.7</v>
      </c>
      <c r="F163" s="36">
        <v>12.8</v>
      </c>
      <c r="G163" s="36">
        <v>0</v>
      </c>
      <c r="H163" s="36">
        <v>7.3</v>
      </c>
      <c r="I163" s="36">
        <v>8</v>
      </c>
      <c r="J163" s="36">
        <v>11.4</v>
      </c>
      <c r="K163" s="36">
        <v>12.6</v>
      </c>
      <c r="L163" s="44"/>
    </row>
    <row r="164" spans="1:12">
      <c r="A164" s="29">
        <v>76.5</v>
      </c>
      <c r="B164" s="36">
        <v>0</v>
      </c>
      <c r="C164" s="36">
        <v>7.8</v>
      </c>
      <c r="D164" s="36">
        <v>8.5</v>
      </c>
      <c r="E164" s="36">
        <v>11.8</v>
      </c>
      <c r="F164" s="36">
        <v>12.9</v>
      </c>
      <c r="G164" s="36">
        <v>0</v>
      </c>
      <c r="H164" s="36">
        <v>7.4</v>
      </c>
      <c r="I164" s="36">
        <v>8</v>
      </c>
      <c r="J164" s="36">
        <v>11.5</v>
      </c>
      <c r="K164" s="36">
        <v>12.7</v>
      </c>
      <c r="L164" s="44"/>
    </row>
    <row r="165" spans="1:12">
      <c r="A165" s="29">
        <v>77</v>
      </c>
      <c r="B165" s="36">
        <v>0</v>
      </c>
      <c r="C165" s="36">
        <v>7.9</v>
      </c>
      <c r="D165" s="36">
        <v>8.5</v>
      </c>
      <c r="E165" s="36">
        <v>11.9</v>
      </c>
      <c r="F165" s="36">
        <v>13</v>
      </c>
      <c r="G165" s="36">
        <v>0</v>
      </c>
      <c r="H165" s="36">
        <v>7.5</v>
      </c>
      <c r="I165" s="36">
        <v>8.1</v>
      </c>
      <c r="J165" s="36">
        <v>11.6</v>
      </c>
      <c r="K165" s="36">
        <v>12.8</v>
      </c>
      <c r="L165" s="44"/>
    </row>
    <row r="166" spans="1:12">
      <c r="A166" s="29">
        <v>77.5</v>
      </c>
      <c r="B166" s="36">
        <v>0</v>
      </c>
      <c r="C166" s="36">
        <v>8</v>
      </c>
      <c r="D166" s="36">
        <v>8.6</v>
      </c>
      <c r="E166" s="36">
        <v>12</v>
      </c>
      <c r="F166" s="36">
        <v>13.1</v>
      </c>
      <c r="G166" s="36">
        <v>0</v>
      </c>
      <c r="H166" s="36">
        <v>7.5</v>
      </c>
      <c r="I166" s="36">
        <v>8.1999999999999993</v>
      </c>
      <c r="J166" s="36">
        <v>11.7</v>
      </c>
      <c r="K166" s="36">
        <v>12.9</v>
      </c>
      <c r="L166" s="44"/>
    </row>
    <row r="167" spans="1:12">
      <c r="A167" s="29">
        <v>78</v>
      </c>
      <c r="B167" s="36">
        <v>0</v>
      </c>
      <c r="C167" s="36">
        <v>8</v>
      </c>
      <c r="D167" s="36">
        <v>8.6999999999999993</v>
      </c>
      <c r="E167" s="36">
        <v>12.1</v>
      </c>
      <c r="F167" s="36">
        <v>13.3</v>
      </c>
      <c r="G167" s="36">
        <v>0</v>
      </c>
      <c r="H167" s="36">
        <v>7.6</v>
      </c>
      <c r="I167" s="36">
        <v>8.3000000000000007</v>
      </c>
      <c r="J167" s="36">
        <v>11.8</v>
      </c>
      <c r="K167" s="36">
        <v>13.1</v>
      </c>
      <c r="L167" s="44"/>
    </row>
    <row r="168" spans="1:12">
      <c r="A168" s="29">
        <v>78.5</v>
      </c>
      <c r="B168" s="36">
        <v>0</v>
      </c>
      <c r="C168" s="36">
        <v>8.1</v>
      </c>
      <c r="D168" s="36">
        <v>8.8000000000000007</v>
      </c>
      <c r="E168" s="36">
        <v>12.2</v>
      </c>
      <c r="F168" s="36">
        <v>13.4</v>
      </c>
      <c r="G168" s="36">
        <v>0</v>
      </c>
      <c r="H168" s="36">
        <v>7.7</v>
      </c>
      <c r="I168" s="36">
        <v>8.4</v>
      </c>
      <c r="J168" s="36">
        <v>12</v>
      </c>
      <c r="K168" s="36">
        <v>13.2</v>
      </c>
      <c r="L168" s="44"/>
    </row>
    <row r="169" spans="1:12">
      <c r="A169" s="29">
        <v>79</v>
      </c>
      <c r="B169" s="36">
        <v>0</v>
      </c>
      <c r="C169" s="36">
        <v>8.1999999999999993</v>
      </c>
      <c r="D169" s="36">
        <v>8.8000000000000007</v>
      </c>
      <c r="E169" s="36">
        <v>12.3</v>
      </c>
      <c r="F169" s="36">
        <v>13.5</v>
      </c>
      <c r="G169" s="36">
        <v>0</v>
      </c>
      <c r="H169" s="36">
        <v>7.8</v>
      </c>
      <c r="I169" s="36">
        <v>8.4</v>
      </c>
      <c r="J169" s="36">
        <v>12.1</v>
      </c>
      <c r="K169" s="36">
        <v>13.3</v>
      </c>
      <c r="L169" s="44"/>
    </row>
    <row r="170" spans="1:12">
      <c r="A170" s="29">
        <v>79.5</v>
      </c>
      <c r="B170" s="36">
        <v>0</v>
      </c>
      <c r="C170" s="36">
        <v>8.3000000000000007</v>
      </c>
      <c r="D170" s="36">
        <v>8.9</v>
      </c>
      <c r="E170" s="36">
        <v>12.4</v>
      </c>
      <c r="F170" s="36">
        <v>13.6</v>
      </c>
      <c r="G170" s="36">
        <v>0</v>
      </c>
      <c r="H170" s="36">
        <v>7.8</v>
      </c>
      <c r="I170" s="36">
        <v>8.5</v>
      </c>
      <c r="J170" s="36">
        <v>12.2</v>
      </c>
      <c r="K170" s="36">
        <v>13.4</v>
      </c>
      <c r="L170" s="44"/>
    </row>
    <row r="171" spans="1:12">
      <c r="A171" s="29">
        <v>80</v>
      </c>
      <c r="B171" s="36">
        <v>0</v>
      </c>
      <c r="C171" s="36">
        <v>8.3000000000000007</v>
      </c>
      <c r="D171" s="36">
        <v>9</v>
      </c>
      <c r="E171" s="36">
        <v>12.6</v>
      </c>
      <c r="F171" s="36">
        <v>13.7</v>
      </c>
      <c r="G171" s="36">
        <v>0</v>
      </c>
      <c r="H171" s="36">
        <v>7.9</v>
      </c>
      <c r="I171" s="36">
        <v>8.6</v>
      </c>
      <c r="J171" s="36">
        <v>12.3</v>
      </c>
      <c r="K171" s="36">
        <v>13.6</v>
      </c>
      <c r="L171" s="44"/>
    </row>
    <row r="172" spans="1:12">
      <c r="A172" s="29">
        <v>80.5</v>
      </c>
      <c r="B172" s="36">
        <v>0</v>
      </c>
      <c r="C172" s="36">
        <v>8.4</v>
      </c>
      <c r="D172" s="36">
        <v>9.1</v>
      </c>
      <c r="E172" s="36">
        <v>12.7</v>
      </c>
      <c r="F172" s="36">
        <v>13.8</v>
      </c>
      <c r="G172" s="36">
        <v>0</v>
      </c>
      <c r="H172" s="36">
        <v>8</v>
      </c>
      <c r="I172" s="36">
        <v>8.6999999999999993</v>
      </c>
      <c r="J172" s="36">
        <v>12.4</v>
      </c>
      <c r="K172" s="36">
        <v>13.7</v>
      </c>
      <c r="L172" s="44"/>
    </row>
    <row r="173" spans="1:12">
      <c r="A173" s="29">
        <v>81</v>
      </c>
      <c r="B173" s="36">
        <v>0</v>
      </c>
      <c r="C173" s="36">
        <v>8.5</v>
      </c>
      <c r="D173" s="36">
        <v>9.1999999999999993</v>
      </c>
      <c r="E173" s="36">
        <v>12.8</v>
      </c>
      <c r="F173" s="36">
        <v>14</v>
      </c>
      <c r="G173" s="36">
        <v>0</v>
      </c>
      <c r="H173" s="36">
        <v>8.1</v>
      </c>
      <c r="I173" s="36">
        <v>8.8000000000000007</v>
      </c>
      <c r="J173" s="36">
        <v>12.6</v>
      </c>
      <c r="K173" s="36">
        <v>13.9</v>
      </c>
      <c r="L173" s="44"/>
    </row>
    <row r="174" spans="1:12">
      <c r="A174" s="29">
        <v>81.5</v>
      </c>
      <c r="B174" s="36">
        <v>0</v>
      </c>
      <c r="C174" s="36">
        <v>8.6</v>
      </c>
      <c r="D174" s="36">
        <v>9.3000000000000007</v>
      </c>
      <c r="E174" s="36">
        <v>12.9</v>
      </c>
      <c r="F174" s="36">
        <v>14.1</v>
      </c>
      <c r="G174" s="36">
        <v>0</v>
      </c>
      <c r="H174" s="36">
        <v>8.1999999999999993</v>
      </c>
      <c r="I174" s="36">
        <v>8.9</v>
      </c>
      <c r="J174" s="36">
        <v>12.7</v>
      </c>
      <c r="K174" s="36">
        <v>14</v>
      </c>
      <c r="L174" s="44"/>
    </row>
    <row r="175" spans="1:12">
      <c r="A175" s="29">
        <v>82</v>
      </c>
      <c r="B175" s="36">
        <v>0</v>
      </c>
      <c r="C175" s="36">
        <v>8.6999999999999993</v>
      </c>
      <c r="D175" s="36">
        <v>9.3000000000000007</v>
      </c>
      <c r="E175" s="36">
        <v>13</v>
      </c>
      <c r="F175" s="36">
        <v>14.2</v>
      </c>
      <c r="G175" s="36">
        <v>0</v>
      </c>
      <c r="H175" s="36">
        <v>8.3000000000000007</v>
      </c>
      <c r="I175" s="36">
        <v>9</v>
      </c>
      <c r="J175" s="36">
        <v>12.8</v>
      </c>
      <c r="K175" s="36">
        <v>14.1</v>
      </c>
      <c r="L175" s="44"/>
    </row>
    <row r="176" spans="1:12">
      <c r="A176" s="29">
        <v>82.5</v>
      </c>
      <c r="B176" s="36">
        <v>0</v>
      </c>
      <c r="C176" s="36">
        <v>8.6999999999999993</v>
      </c>
      <c r="D176" s="36">
        <v>9.4</v>
      </c>
      <c r="E176" s="36">
        <v>13.1</v>
      </c>
      <c r="F176" s="36">
        <v>14.4</v>
      </c>
      <c r="G176" s="36">
        <v>0</v>
      </c>
      <c r="H176" s="36">
        <v>8.4</v>
      </c>
      <c r="I176" s="36">
        <v>9.1</v>
      </c>
      <c r="J176" s="36">
        <v>13</v>
      </c>
      <c r="K176" s="36">
        <v>14.3</v>
      </c>
      <c r="L176" s="44"/>
    </row>
    <row r="177" spans="1:12">
      <c r="A177" s="29">
        <v>83</v>
      </c>
      <c r="B177" s="36">
        <v>0</v>
      </c>
      <c r="C177" s="36">
        <v>8.8000000000000007</v>
      </c>
      <c r="D177" s="36">
        <v>9.5</v>
      </c>
      <c r="E177" s="36">
        <v>13.3</v>
      </c>
      <c r="F177" s="36">
        <v>14.5</v>
      </c>
      <c r="G177" s="36">
        <v>0</v>
      </c>
      <c r="H177" s="36">
        <v>8.5</v>
      </c>
      <c r="I177" s="36">
        <v>9.1999999999999993</v>
      </c>
      <c r="J177" s="36">
        <v>13.1</v>
      </c>
      <c r="K177" s="36">
        <v>14.5</v>
      </c>
      <c r="L177" s="44"/>
    </row>
    <row r="178" spans="1:12">
      <c r="A178" s="29">
        <v>83.5</v>
      </c>
      <c r="B178" s="36">
        <v>0</v>
      </c>
      <c r="C178" s="36">
        <v>8.9</v>
      </c>
      <c r="D178" s="36">
        <v>9.6</v>
      </c>
      <c r="E178" s="36">
        <v>13.4</v>
      </c>
      <c r="F178" s="36">
        <v>14.6</v>
      </c>
      <c r="G178" s="36">
        <v>0</v>
      </c>
      <c r="H178" s="36">
        <v>8.5</v>
      </c>
      <c r="I178" s="36">
        <v>9.3000000000000007</v>
      </c>
      <c r="J178" s="36">
        <v>13.3</v>
      </c>
      <c r="K178" s="36">
        <v>14.6</v>
      </c>
      <c r="L178" s="44"/>
    </row>
    <row r="179" spans="1:12">
      <c r="A179" s="29">
        <v>84</v>
      </c>
      <c r="B179" s="36">
        <v>0</v>
      </c>
      <c r="C179" s="36">
        <v>9</v>
      </c>
      <c r="D179" s="36">
        <v>9.6999999999999993</v>
      </c>
      <c r="E179" s="36">
        <v>13.5</v>
      </c>
      <c r="F179" s="36">
        <v>14.8</v>
      </c>
      <c r="G179" s="36">
        <v>0</v>
      </c>
      <c r="H179" s="36">
        <v>8.6</v>
      </c>
      <c r="I179" s="36">
        <v>9.4</v>
      </c>
      <c r="J179" s="36">
        <v>13.4</v>
      </c>
      <c r="K179" s="36">
        <v>14.8</v>
      </c>
      <c r="L179" s="44"/>
    </row>
    <row r="180" spans="1:12">
      <c r="A180" s="29">
        <v>84.5</v>
      </c>
      <c r="B180" s="36">
        <v>0</v>
      </c>
      <c r="C180" s="36">
        <v>9.1</v>
      </c>
      <c r="D180" s="36">
        <v>9.9</v>
      </c>
      <c r="E180" s="36">
        <v>13.7</v>
      </c>
      <c r="F180" s="36">
        <v>14.9</v>
      </c>
      <c r="G180" s="36">
        <v>0</v>
      </c>
      <c r="H180" s="36">
        <v>8.6999999999999993</v>
      </c>
      <c r="I180" s="36">
        <v>9.5</v>
      </c>
      <c r="J180" s="36">
        <v>13.5</v>
      </c>
      <c r="K180" s="36">
        <v>14.9</v>
      </c>
      <c r="L180" s="44"/>
    </row>
    <row r="181" spans="1:12">
      <c r="A181" s="29">
        <v>85</v>
      </c>
      <c r="B181" s="36">
        <v>0</v>
      </c>
      <c r="C181" s="36">
        <v>9.1999999999999993</v>
      </c>
      <c r="D181" s="36">
        <v>10</v>
      </c>
      <c r="E181" s="36">
        <v>13.8</v>
      </c>
      <c r="F181" s="36">
        <v>15.1</v>
      </c>
      <c r="G181" s="36">
        <v>0</v>
      </c>
      <c r="H181" s="36">
        <v>8.8000000000000007</v>
      </c>
      <c r="I181" s="36">
        <v>9.6</v>
      </c>
      <c r="J181" s="36">
        <v>13.7</v>
      </c>
      <c r="K181" s="36">
        <v>15.1</v>
      </c>
      <c r="L181" s="44"/>
    </row>
    <row r="182" spans="1:12">
      <c r="A182" s="29">
        <v>85.5</v>
      </c>
      <c r="B182" s="36">
        <v>0</v>
      </c>
      <c r="C182" s="36">
        <v>9.3000000000000007</v>
      </c>
      <c r="D182" s="36">
        <v>10.1</v>
      </c>
      <c r="E182" s="36">
        <v>13.9</v>
      </c>
      <c r="F182" s="36">
        <v>15.2</v>
      </c>
      <c r="G182" s="36">
        <v>0</v>
      </c>
      <c r="H182" s="36">
        <v>8.9</v>
      </c>
      <c r="I182" s="36">
        <v>9.6999999999999993</v>
      </c>
      <c r="J182" s="36">
        <v>13.8</v>
      </c>
      <c r="K182" s="36">
        <v>15.3</v>
      </c>
      <c r="L182" s="44"/>
    </row>
    <row r="183" spans="1:12">
      <c r="A183" s="29">
        <v>86</v>
      </c>
      <c r="B183" s="36">
        <v>0</v>
      </c>
      <c r="C183" s="36">
        <v>9.4</v>
      </c>
      <c r="D183" s="36">
        <v>10.199999999999999</v>
      </c>
      <c r="E183" s="36">
        <v>14.1</v>
      </c>
      <c r="F183" s="36">
        <v>15.4</v>
      </c>
      <c r="G183" s="36">
        <v>0</v>
      </c>
      <c r="H183" s="36">
        <v>9</v>
      </c>
      <c r="I183" s="36">
        <v>9.8000000000000007</v>
      </c>
      <c r="J183" s="36">
        <v>14</v>
      </c>
      <c r="K183" s="36">
        <v>15.4</v>
      </c>
      <c r="L183" s="44"/>
    </row>
    <row r="184" spans="1:12">
      <c r="A184" s="29">
        <v>86.5</v>
      </c>
      <c r="B184" s="36">
        <v>0</v>
      </c>
      <c r="C184" s="36">
        <v>9.5</v>
      </c>
      <c r="D184" s="36">
        <v>10.3</v>
      </c>
      <c r="E184" s="36">
        <v>14.2</v>
      </c>
      <c r="F184" s="36">
        <v>15.5</v>
      </c>
      <c r="G184" s="36">
        <v>0</v>
      </c>
      <c r="H184" s="36">
        <v>9.1</v>
      </c>
      <c r="I184" s="36">
        <v>9.9</v>
      </c>
      <c r="J184" s="36">
        <v>14.2</v>
      </c>
      <c r="K184" s="36">
        <v>15.6</v>
      </c>
      <c r="L184" s="44"/>
    </row>
    <row r="185" spans="1:12">
      <c r="A185" s="29">
        <v>87</v>
      </c>
      <c r="B185" s="36">
        <v>0</v>
      </c>
      <c r="C185" s="36">
        <v>9.6</v>
      </c>
      <c r="D185" s="36">
        <v>10.4</v>
      </c>
      <c r="E185" s="36">
        <v>14.4</v>
      </c>
      <c r="F185" s="36">
        <v>15.7</v>
      </c>
      <c r="G185" s="36">
        <v>0</v>
      </c>
      <c r="H185" s="36">
        <v>9.1999999999999993</v>
      </c>
      <c r="I185" s="36">
        <v>10</v>
      </c>
      <c r="J185" s="36">
        <v>14.3</v>
      </c>
      <c r="K185" s="36">
        <v>15.8</v>
      </c>
      <c r="L185" s="44"/>
    </row>
    <row r="186" spans="1:12">
      <c r="A186" s="29">
        <v>87.5</v>
      </c>
      <c r="B186" s="36">
        <v>0</v>
      </c>
      <c r="C186" s="36">
        <v>9.6999999999999993</v>
      </c>
      <c r="D186" s="36">
        <v>10.5</v>
      </c>
      <c r="E186" s="36">
        <v>14.5</v>
      </c>
      <c r="F186" s="36">
        <v>15.8</v>
      </c>
      <c r="G186" s="36">
        <v>0</v>
      </c>
      <c r="H186" s="36">
        <v>9.3000000000000007</v>
      </c>
      <c r="I186" s="36">
        <v>10.1</v>
      </c>
      <c r="J186" s="36">
        <v>14.5</v>
      </c>
      <c r="K186" s="36">
        <v>15.9</v>
      </c>
      <c r="L186" s="44"/>
    </row>
    <row r="187" spans="1:12">
      <c r="A187" s="29">
        <v>88</v>
      </c>
      <c r="B187" s="36">
        <v>0</v>
      </c>
      <c r="C187" s="36">
        <v>9.8000000000000007</v>
      </c>
      <c r="D187" s="36">
        <v>10.6</v>
      </c>
      <c r="E187" s="36">
        <v>14.7</v>
      </c>
      <c r="F187" s="36">
        <v>16</v>
      </c>
      <c r="G187" s="36">
        <v>0</v>
      </c>
      <c r="H187" s="36">
        <v>9.4</v>
      </c>
      <c r="I187" s="36">
        <v>10.199999999999999</v>
      </c>
      <c r="J187" s="36">
        <v>14.6</v>
      </c>
      <c r="K187" s="36">
        <v>16.100000000000001</v>
      </c>
      <c r="L187" s="44"/>
    </row>
    <row r="188" spans="1:12">
      <c r="A188" s="29">
        <v>88.5</v>
      </c>
      <c r="B188" s="36">
        <v>0</v>
      </c>
      <c r="C188" s="36">
        <v>9.9</v>
      </c>
      <c r="D188" s="36">
        <v>10.7</v>
      </c>
      <c r="E188" s="36">
        <v>14.8</v>
      </c>
      <c r="F188" s="36">
        <v>16.100000000000001</v>
      </c>
      <c r="G188" s="36">
        <v>0</v>
      </c>
      <c r="H188" s="36">
        <v>9.5</v>
      </c>
      <c r="I188" s="36">
        <v>10.3</v>
      </c>
      <c r="J188" s="36">
        <v>14.8</v>
      </c>
      <c r="K188" s="36">
        <v>16.3</v>
      </c>
      <c r="L188" s="44"/>
    </row>
    <row r="189" spans="1:12">
      <c r="A189" s="29">
        <v>89</v>
      </c>
      <c r="B189" s="36">
        <v>0</v>
      </c>
      <c r="C189" s="36">
        <v>10</v>
      </c>
      <c r="D189" s="36">
        <v>10.8</v>
      </c>
      <c r="E189" s="36">
        <v>14.9</v>
      </c>
      <c r="F189" s="36">
        <v>16.3</v>
      </c>
      <c r="G189" s="36">
        <v>0</v>
      </c>
      <c r="H189" s="36">
        <v>9.6</v>
      </c>
      <c r="I189" s="36">
        <v>10.4</v>
      </c>
      <c r="J189" s="36">
        <v>14.9</v>
      </c>
      <c r="K189" s="36">
        <v>16.399999999999999</v>
      </c>
      <c r="L189" s="44"/>
    </row>
    <row r="190" spans="1:12">
      <c r="A190" s="29">
        <v>89.5</v>
      </c>
      <c r="B190" s="36">
        <v>0</v>
      </c>
      <c r="C190" s="36">
        <v>10.1</v>
      </c>
      <c r="D190" s="36">
        <v>10.9</v>
      </c>
      <c r="E190" s="36">
        <v>15.1</v>
      </c>
      <c r="F190" s="36">
        <v>16.399999999999999</v>
      </c>
      <c r="G190" s="36">
        <v>0</v>
      </c>
      <c r="H190" s="36">
        <v>9.6999999999999993</v>
      </c>
      <c r="I190" s="36">
        <v>10.5</v>
      </c>
      <c r="J190" s="36">
        <v>15.1</v>
      </c>
      <c r="K190" s="36">
        <v>16.600000000000001</v>
      </c>
      <c r="L190" s="44"/>
    </row>
    <row r="191" spans="1:12">
      <c r="A191" s="29">
        <v>90</v>
      </c>
      <c r="B191" s="36">
        <v>0</v>
      </c>
      <c r="C191" s="36">
        <v>10.199999999999999</v>
      </c>
      <c r="D191" s="36">
        <v>11</v>
      </c>
      <c r="E191" s="36">
        <v>15.2</v>
      </c>
      <c r="F191" s="36">
        <v>16.600000000000001</v>
      </c>
      <c r="G191" s="36">
        <v>0</v>
      </c>
      <c r="H191" s="36">
        <v>9.8000000000000007</v>
      </c>
      <c r="I191" s="36">
        <v>10.6</v>
      </c>
      <c r="J191" s="36">
        <v>15.2</v>
      </c>
      <c r="K191" s="36">
        <v>16.8</v>
      </c>
      <c r="L191" s="44"/>
    </row>
    <row r="192" spans="1:12">
      <c r="A192" s="29">
        <v>90.5</v>
      </c>
      <c r="B192" s="36">
        <v>0</v>
      </c>
      <c r="C192" s="36">
        <v>10.3</v>
      </c>
      <c r="D192" s="36">
        <v>11.1</v>
      </c>
      <c r="E192" s="36">
        <v>15.3</v>
      </c>
      <c r="F192" s="36">
        <v>16.7</v>
      </c>
      <c r="G192" s="36">
        <v>0</v>
      </c>
      <c r="H192" s="36">
        <v>9.9</v>
      </c>
      <c r="I192" s="36">
        <v>10.7</v>
      </c>
      <c r="J192" s="36">
        <v>15.4</v>
      </c>
      <c r="K192" s="36">
        <v>16.899999999999999</v>
      </c>
      <c r="L192" s="44"/>
    </row>
    <row r="193" spans="1:12">
      <c r="A193" s="29">
        <v>91</v>
      </c>
      <c r="B193" s="36">
        <v>0</v>
      </c>
      <c r="C193" s="36">
        <v>10.4</v>
      </c>
      <c r="D193" s="36">
        <v>11.2</v>
      </c>
      <c r="E193" s="36">
        <v>15.5</v>
      </c>
      <c r="F193" s="36">
        <v>16.899999999999999</v>
      </c>
      <c r="G193" s="36">
        <v>0</v>
      </c>
      <c r="H193" s="36">
        <v>10</v>
      </c>
      <c r="I193" s="36">
        <v>10.9</v>
      </c>
      <c r="J193" s="36">
        <v>15.5</v>
      </c>
      <c r="K193" s="36">
        <v>17.100000000000001</v>
      </c>
      <c r="L193" s="44"/>
    </row>
    <row r="194" spans="1:12">
      <c r="A194" s="29">
        <v>91.5</v>
      </c>
      <c r="B194" s="36">
        <v>0</v>
      </c>
      <c r="C194" s="36">
        <v>10.5</v>
      </c>
      <c r="D194" s="36">
        <v>11.3</v>
      </c>
      <c r="E194" s="36">
        <v>15.6</v>
      </c>
      <c r="F194" s="36">
        <v>17</v>
      </c>
      <c r="G194" s="36">
        <v>0</v>
      </c>
      <c r="H194" s="36">
        <v>10.1</v>
      </c>
      <c r="I194" s="36">
        <v>11</v>
      </c>
      <c r="J194" s="36">
        <v>15.7</v>
      </c>
      <c r="K194" s="36">
        <v>17.3</v>
      </c>
      <c r="L194" s="44"/>
    </row>
    <row r="195" spans="1:12">
      <c r="A195" s="29">
        <v>92</v>
      </c>
      <c r="B195" s="36">
        <v>0</v>
      </c>
      <c r="C195" s="36">
        <v>10.6</v>
      </c>
      <c r="D195" s="36">
        <v>11.4</v>
      </c>
      <c r="E195" s="36">
        <v>15.8</v>
      </c>
      <c r="F195" s="36">
        <v>17.2</v>
      </c>
      <c r="G195" s="36">
        <v>0</v>
      </c>
      <c r="H195" s="36">
        <v>10.199999999999999</v>
      </c>
      <c r="I195" s="36">
        <v>11.1</v>
      </c>
      <c r="J195" s="36">
        <v>15.8</v>
      </c>
      <c r="K195" s="36">
        <v>17.399999999999999</v>
      </c>
      <c r="L195" s="44"/>
    </row>
    <row r="196" spans="1:12">
      <c r="A196" s="29">
        <v>92.5</v>
      </c>
      <c r="B196" s="36">
        <v>0</v>
      </c>
      <c r="C196" s="36">
        <v>10.7</v>
      </c>
      <c r="D196" s="36">
        <v>11.5</v>
      </c>
      <c r="E196" s="36">
        <v>15.9</v>
      </c>
      <c r="F196" s="36">
        <v>17.3</v>
      </c>
      <c r="G196" s="36">
        <v>0</v>
      </c>
      <c r="H196" s="36">
        <v>10.3</v>
      </c>
      <c r="I196" s="36">
        <v>11.2</v>
      </c>
      <c r="J196" s="36">
        <v>16</v>
      </c>
      <c r="K196" s="36">
        <v>17.600000000000001</v>
      </c>
      <c r="L196" s="44"/>
    </row>
    <row r="197" spans="1:12">
      <c r="A197" s="29">
        <v>93</v>
      </c>
      <c r="B197" s="36">
        <v>0</v>
      </c>
      <c r="C197" s="36">
        <v>10.8</v>
      </c>
      <c r="D197" s="36">
        <v>11.6</v>
      </c>
      <c r="E197" s="36">
        <v>16</v>
      </c>
      <c r="F197" s="36">
        <v>17.5</v>
      </c>
      <c r="G197" s="36">
        <v>0</v>
      </c>
      <c r="H197" s="36">
        <v>10.4</v>
      </c>
      <c r="I197" s="36">
        <v>11.3</v>
      </c>
      <c r="J197" s="36">
        <v>16.100000000000001</v>
      </c>
      <c r="K197" s="36">
        <v>17.8</v>
      </c>
      <c r="L197" s="44"/>
    </row>
    <row r="198" spans="1:12">
      <c r="A198" s="29">
        <v>93.5</v>
      </c>
      <c r="B198" s="36">
        <v>0</v>
      </c>
      <c r="C198" s="36">
        <v>10.9</v>
      </c>
      <c r="D198" s="36">
        <v>11.7</v>
      </c>
      <c r="E198" s="36">
        <v>16.2</v>
      </c>
      <c r="F198" s="36">
        <v>17.600000000000001</v>
      </c>
      <c r="G198" s="36">
        <v>0</v>
      </c>
      <c r="H198" s="36">
        <v>10.5</v>
      </c>
      <c r="I198" s="36">
        <v>11.4</v>
      </c>
      <c r="J198" s="36">
        <v>16.3</v>
      </c>
      <c r="K198" s="36">
        <v>17.899999999999999</v>
      </c>
      <c r="L198" s="44"/>
    </row>
    <row r="199" spans="1:12">
      <c r="A199" s="29">
        <v>94</v>
      </c>
      <c r="B199" s="36">
        <v>0</v>
      </c>
      <c r="C199" s="36">
        <v>11</v>
      </c>
      <c r="D199" s="36">
        <v>11.8</v>
      </c>
      <c r="E199" s="36">
        <v>16.3</v>
      </c>
      <c r="F199" s="36">
        <v>17.8</v>
      </c>
      <c r="G199" s="36">
        <v>0</v>
      </c>
      <c r="H199" s="36">
        <v>10.6</v>
      </c>
      <c r="I199" s="36">
        <v>11.5</v>
      </c>
      <c r="J199" s="36">
        <v>16.399999999999999</v>
      </c>
      <c r="K199" s="36">
        <v>18.100000000000001</v>
      </c>
      <c r="L199" s="44"/>
    </row>
    <row r="200" spans="1:12">
      <c r="A200" s="29">
        <v>94.5</v>
      </c>
      <c r="B200" s="36">
        <v>0</v>
      </c>
      <c r="C200" s="36">
        <v>11.1</v>
      </c>
      <c r="D200" s="36">
        <v>11.9</v>
      </c>
      <c r="E200" s="36">
        <v>16.5</v>
      </c>
      <c r="F200" s="36">
        <v>17.899999999999999</v>
      </c>
      <c r="G200" s="36">
        <v>0</v>
      </c>
      <c r="H200" s="36">
        <v>10.7</v>
      </c>
      <c r="I200" s="36">
        <v>11.6</v>
      </c>
      <c r="J200" s="36">
        <v>16.600000000000001</v>
      </c>
      <c r="K200" s="36">
        <v>18.3</v>
      </c>
      <c r="L200" s="44"/>
    </row>
    <row r="201" spans="1:12">
      <c r="A201" s="29">
        <v>95</v>
      </c>
      <c r="B201" s="36">
        <v>0</v>
      </c>
      <c r="C201" s="36">
        <v>11.1</v>
      </c>
      <c r="D201" s="36">
        <v>12</v>
      </c>
      <c r="E201" s="36">
        <v>16.600000000000001</v>
      </c>
      <c r="F201" s="36">
        <v>18.100000000000001</v>
      </c>
      <c r="G201" s="36">
        <v>0</v>
      </c>
      <c r="H201" s="36">
        <v>10.8</v>
      </c>
      <c r="I201" s="36">
        <v>11.7</v>
      </c>
      <c r="J201" s="36">
        <v>16.7</v>
      </c>
      <c r="K201" s="36">
        <v>18.5</v>
      </c>
      <c r="L201" s="44"/>
    </row>
    <row r="202" spans="1:12">
      <c r="A202" s="29">
        <v>95.5</v>
      </c>
      <c r="B202" s="36">
        <v>0</v>
      </c>
      <c r="C202" s="36">
        <v>11.2</v>
      </c>
      <c r="D202" s="36">
        <v>12.1</v>
      </c>
      <c r="E202" s="36">
        <v>16.7</v>
      </c>
      <c r="F202" s="36">
        <v>18.3</v>
      </c>
      <c r="G202" s="36">
        <v>0</v>
      </c>
      <c r="H202" s="36">
        <v>10.8</v>
      </c>
      <c r="I202" s="36">
        <v>11.8</v>
      </c>
      <c r="J202" s="36">
        <v>16.899999999999999</v>
      </c>
      <c r="K202" s="36">
        <v>18.600000000000001</v>
      </c>
      <c r="L202" s="44"/>
    </row>
    <row r="203" spans="1:12">
      <c r="A203" s="29">
        <v>96</v>
      </c>
      <c r="B203" s="36">
        <v>0</v>
      </c>
      <c r="C203" s="36">
        <v>11.3</v>
      </c>
      <c r="D203" s="36">
        <v>12.2</v>
      </c>
      <c r="E203" s="36">
        <v>16.899999999999999</v>
      </c>
      <c r="F203" s="36">
        <v>18.399999999999999</v>
      </c>
      <c r="G203" s="36">
        <v>0</v>
      </c>
      <c r="H203" s="36">
        <v>10.9</v>
      </c>
      <c r="I203" s="36">
        <v>11.9</v>
      </c>
      <c r="J203" s="36">
        <v>17</v>
      </c>
      <c r="K203" s="36">
        <v>18.8</v>
      </c>
      <c r="L203" s="44"/>
    </row>
    <row r="204" spans="1:12">
      <c r="A204" s="29">
        <v>96.5</v>
      </c>
      <c r="B204" s="36">
        <v>0</v>
      </c>
      <c r="C204" s="36">
        <v>11.4</v>
      </c>
      <c r="D204" s="36">
        <v>12.3</v>
      </c>
      <c r="E204" s="36">
        <v>17</v>
      </c>
      <c r="F204" s="36">
        <v>18.600000000000001</v>
      </c>
      <c r="G204" s="36">
        <v>0</v>
      </c>
      <c r="H204" s="36">
        <v>11</v>
      </c>
      <c r="I204" s="36">
        <v>12</v>
      </c>
      <c r="J204" s="36">
        <v>17.2</v>
      </c>
      <c r="K204" s="36">
        <v>19</v>
      </c>
      <c r="L204" s="44"/>
    </row>
    <row r="205" spans="1:12">
      <c r="A205" s="29">
        <v>97</v>
      </c>
      <c r="B205" s="36">
        <v>0</v>
      </c>
      <c r="C205" s="36">
        <v>11.5</v>
      </c>
      <c r="D205" s="36">
        <v>12.4</v>
      </c>
      <c r="E205" s="36">
        <v>17.2</v>
      </c>
      <c r="F205" s="36">
        <v>18.8</v>
      </c>
      <c r="G205" s="36">
        <v>0</v>
      </c>
      <c r="H205" s="36">
        <v>11.1</v>
      </c>
      <c r="I205" s="36">
        <v>12.1</v>
      </c>
      <c r="J205" s="36">
        <v>17.399999999999999</v>
      </c>
      <c r="K205" s="36">
        <v>19.2</v>
      </c>
      <c r="L205" s="44"/>
    </row>
    <row r="206" spans="1:12">
      <c r="A206" s="29">
        <v>97.5</v>
      </c>
      <c r="B206" s="36">
        <v>0</v>
      </c>
      <c r="C206" s="36">
        <v>11.6</v>
      </c>
      <c r="D206" s="36">
        <v>12.5</v>
      </c>
      <c r="E206" s="36">
        <v>17.399999999999999</v>
      </c>
      <c r="F206" s="36">
        <v>18.899999999999999</v>
      </c>
      <c r="G206" s="36">
        <v>0</v>
      </c>
      <c r="H206" s="36">
        <v>11.2</v>
      </c>
      <c r="I206" s="36">
        <v>12.2</v>
      </c>
      <c r="J206" s="36">
        <v>17.5</v>
      </c>
      <c r="K206" s="36">
        <v>19.3</v>
      </c>
      <c r="L206" s="44"/>
    </row>
    <row r="207" spans="1:12">
      <c r="A207" s="29">
        <v>98</v>
      </c>
      <c r="B207" s="36">
        <v>0</v>
      </c>
      <c r="C207" s="36">
        <v>11.7</v>
      </c>
      <c r="D207" s="36">
        <v>12.6</v>
      </c>
      <c r="E207" s="36">
        <v>17.5</v>
      </c>
      <c r="F207" s="36">
        <v>19.100000000000001</v>
      </c>
      <c r="G207" s="36">
        <v>0</v>
      </c>
      <c r="H207" s="36">
        <v>11.3</v>
      </c>
      <c r="I207" s="36">
        <v>12.3</v>
      </c>
      <c r="J207" s="36">
        <v>17.7</v>
      </c>
      <c r="K207" s="36">
        <v>19.5</v>
      </c>
      <c r="L207" s="44"/>
    </row>
    <row r="208" spans="1:12">
      <c r="A208" s="29">
        <v>98.5</v>
      </c>
      <c r="B208" s="36">
        <v>0</v>
      </c>
      <c r="C208" s="36">
        <v>11.8</v>
      </c>
      <c r="D208" s="36">
        <v>12.8</v>
      </c>
      <c r="E208" s="36">
        <v>17.7</v>
      </c>
      <c r="F208" s="36">
        <v>19.3</v>
      </c>
      <c r="G208" s="36">
        <v>0</v>
      </c>
      <c r="H208" s="36">
        <v>11.4</v>
      </c>
      <c r="I208" s="36">
        <v>12.4</v>
      </c>
      <c r="J208" s="36">
        <v>17.899999999999999</v>
      </c>
      <c r="K208" s="36">
        <v>19.7</v>
      </c>
      <c r="L208" s="44"/>
    </row>
    <row r="209" spans="1:12">
      <c r="A209" s="29">
        <v>99</v>
      </c>
      <c r="B209" s="36">
        <v>0</v>
      </c>
      <c r="C209" s="36">
        <v>11.9</v>
      </c>
      <c r="D209" s="36">
        <v>12.9</v>
      </c>
      <c r="E209" s="36">
        <v>17.899999999999999</v>
      </c>
      <c r="F209" s="36">
        <v>19.5</v>
      </c>
      <c r="G209" s="36">
        <v>0</v>
      </c>
      <c r="H209" s="36">
        <v>11.5</v>
      </c>
      <c r="I209" s="36">
        <v>12.5</v>
      </c>
      <c r="J209" s="36">
        <v>18</v>
      </c>
      <c r="K209" s="36">
        <v>19.899999999999999</v>
      </c>
      <c r="L209" s="44"/>
    </row>
    <row r="210" spans="1:12">
      <c r="A210" s="29">
        <v>99.5</v>
      </c>
      <c r="B210" s="36">
        <v>0</v>
      </c>
      <c r="C210" s="36">
        <v>12</v>
      </c>
      <c r="D210" s="36">
        <v>13</v>
      </c>
      <c r="E210" s="36">
        <v>18</v>
      </c>
      <c r="F210" s="36">
        <v>19.7</v>
      </c>
      <c r="G210" s="36">
        <v>0</v>
      </c>
      <c r="H210" s="36">
        <v>11.6</v>
      </c>
      <c r="I210" s="36">
        <v>12.7</v>
      </c>
      <c r="J210" s="36">
        <v>18.2</v>
      </c>
      <c r="K210" s="36">
        <v>20.100000000000001</v>
      </c>
      <c r="L210" s="44"/>
    </row>
    <row r="211" spans="1:12">
      <c r="A211" s="29">
        <v>100</v>
      </c>
      <c r="B211" s="36">
        <v>0</v>
      </c>
      <c r="C211" s="36">
        <v>12.1</v>
      </c>
      <c r="D211" s="36">
        <v>13.1</v>
      </c>
      <c r="E211" s="36">
        <v>18.2</v>
      </c>
      <c r="F211" s="36">
        <v>19.899999999999999</v>
      </c>
      <c r="G211" s="36">
        <v>0</v>
      </c>
      <c r="H211" s="36">
        <v>11.7</v>
      </c>
      <c r="I211" s="36">
        <v>12.8</v>
      </c>
      <c r="J211" s="36">
        <v>18.399999999999999</v>
      </c>
      <c r="K211" s="36">
        <v>20.3</v>
      </c>
      <c r="L211" s="44"/>
    </row>
    <row r="212" spans="1:12">
      <c r="A212" s="29">
        <v>100.5</v>
      </c>
      <c r="B212" s="36">
        <v>0</v>
      </c>
      <c r="C212" s="36">
        <v>12.2</v>
      </c>
      <c r="D212" s="36">
        <v>13.2</v>
      </c>
      <c r="E212" s="36">
        <v>18.399999999999999</v>
      </c>
      <c r="F212" s="36">
        <v>20.100000000000001</v>
      </c>
      <c r="G212" s="36">
        <v>0</v>
      </c>
      <c r="H212" s="36">
        <v>11.9</v>
      </c>
      <c r="I212" s="36">
        <v>12.9</v>
      </c>
      <c r="J212" s="36">
        <v>18.600000000000001</v>
      </c>
      <c r="K212" s="36">
        <v>20.5</v>
      </c>
      <c r="L212" s="44"/>
    </row>
    <row r="213" spans="1:12">
      <c r="A213" s="29">
        <v>101</v>
      </c>
      <c r="B213" s="36">
        <v>0</v>
      </c>
      <c r="C213" s="36">
        <v>12.3</v>
      </c>
      <c r="D213" s="36">
        <v>13.3</v>
      </c>
      <c r="E213" s="36">
        <v>18.5</v>
      </c>
      <c r="F213" s="36">
        <v>20.3</v>
      </c>
      <c r="G213" s="36">
        <v>0</v>
      </c>
      <c r="H213" s="36">
        <v>12</v>
      </c>
      <c r="I213" s="36">
        <v>13</v>
      </c>
      <c r="J213" s="36">
        <v>18.7</v>
      </c>
      <c r="K213" s="36">
        <v>20.7</v>
      </c>
      <c r="L213" s="44"/>
    </row>
    <row r="214" spans="1:12">
      <c r="A214" s="29">
        <v>101.5</v>
      </c>
      <c r="B214" s="36">
        <v>0</v>
      </c>
      <c r="C214" s="36">
        <v>12.4</v>
      </c>
      <c r="D214" s="36">
        <v>13.4</v>
      </c>
      <c r="E214" s="36">
        <v>18.7</v>
      </c>
      <c r="F214" s="36">
        <v>20.5</v>
      </c>
      <c r="G214" s="36">
        <v>0</v>
      </c>
      <c r="H214" s="36">
        <v>12.1</v>
      </c>
      <c r="I214" s="36">
        <v>13.1</v>
      </c>
      <c r="J214" s="36">
        <v>18.899999999999999</v>
      </c>
      <c r="K214" s="36">
        <v>20.9</v>
      </c>
      <c r="L214" s="44"/>
    </row>
    <row r="215" spans="1:12">
      <c r="A215" s="29">
        <v>102</v>
      </c>
      <c r="B215" s="36">
        <v>0</v>
      </c>
      <c r="C215" s="36">
        <v>12.5</v>
      </c>
      <c r="D215" s="36">
        <v>13.6</v>
      </c>
      <c r="E215" s="36">
        <v>18.899999999999999</v>
      </c>
      <c r="F215" s="36">
        <v>20.7</v>
      </c>
      <c r="G215" s="36">
        <v>0</v>
      </c>
      <c r="H215" s="36">
        <v>12.2</v>
      </c>
      <c r="I215" s="36">
        <v>13.3</v>
      </c>
      <c r="J215" s="36">
        <v>19.100000000000001</v>
      </c>
      <c r="K215" s="36">
        <v>21.1</v>
      </c>
      <c r="L215" s="44"/>
    </row>
    <row r="216" spans="1:12">
      <c r="A216" s="29">
        <v>102.5</v>
      </c>
      <c r="B216" s="36">
        <v>0</v>
      </c>
      <c r="C216" s="36">
        <v>12.6</v>
      </c>
      <c r="D216" s="36">
        <v>13.7</v>
      </c>
      <c r="E216" s="36">
        <v>19.100000000000001</v>
      </c>
      <c r="F216" s="36">
        <v>20.9</v>
      </c>
      <c r="G216" s="36">
        <v>0</v>
      </c>
      <c r="H216" s="36">
        <v>12.3</v>
      </c>
      <c r="I216" s="36">
        <v>13.4</v>
      </c>
      <c r="J216" s="36">
        <v>19.3</v>
      </c>
      <c r="K216" s="36">
        <v>21.4</v>
      </c>
      <c r="L216" s="44"/>
    </row>
    <row r="217" spans="1:12">
      <c r="A217" s="29">
        <v>103</v>
      </c>
      <c r="B217" s="36">
        <v>0</v>
      </c>
      <c r="C217" s="36">
        <v>12.8</v>
      </c>
      <c r="D217" s="36">
        <v>13.8</v>
      </c>
      <c r="E217" s="36">
        <v>19.3</v>
      </c>
      <c r="F217" s="36">
        <v>21.1</v>
      </c>
      <c r="G217" s="36">
        <v>0</v>
      </c>
      <c r="H217" s="36">
        <v>12.4</v>
      </c>
      <c r="I217" s="36">
        <v>13.5</v>
      </c>
      <c r="J217" s="36">
        <v>19.5</v>
      </c>
      <c r="K217" s="36">
        <v>21.6</v>
      </c>
      <c r="L217" s="44"/>
    </row>
    <row r="218" spans="1:12">
      <c r="A218" s="29">
        <v>103.5</v>
      </c>
      <c r="B218" s="36">
        <v>0</v>
      </c>
      <c r="C218" s="36">
        <v>12.9</v>
      </c>
      <c r="D218" s="36">
        <v>13.9</v>
      </c>
      <c r="E218" s="36">
        <v>19.5</v>
      </c>
      <c r="F218" s="36">
        <v>21.3</v>
      </c>
      <c r="G218" s="36">
        <v>0</v>
      </c>
      <c r="H218" s="36">
        <v>12.5</v>
      </c>
      <c r="I218" s="36">
        <v>13.6</v>
      </c>
      <c r="J218" s="36">
        <v>19.7</v>
      </c>
      <c r="K218" s="36">
        <v>21.8</v>
      </c>
      <c r="L218" s="44"/>
    </row>
    <row r="219" spans="1:12">
      <c r="A219" s="29">
        <v>104</v>
      </c>
      <c r="B219" s="36">
        <v>0</v>
      </c>
      <c r="C219" s="36">
        <v>13</v>
      </c>
      <c r="D219" s="36">
        <v>14</v>
      </c>
      <c r="E219" s="36">
        <v>19.7</v>
      </c>
      <c r="F219" s="36">
        <v>21.6</v>
      </c>
      <c r="G219" s="36">
        <v>0</v>
      </c>
      <c r="H219" s="36">
        <v>12.6</v>
      </c>
      <c r="I219" s="36">
        <v>13.8</v>
      </c>
      <c r="J219" s="36">
        <v>19.899999999999999</v>
      </c>
      <c r="K219" s="36">
        <v>22</v>
      </c>
      <c r="L219" s="44"/>
    </row>
    <row r="220" spans="1:12">
      <c r="A220" s="29">
        <v>104.5</v>
      </c>
      <c r="B220" s="36">
        <v>0</v>
      </c>
      <c r="C220" s="36">
        <v>13.1</v>
      </c>
      <c r="D220" s="36">
        <v>14.2</v>
      </c>
      <c r="E220" s="36">
        <v>19.899999999999999</v>
      </c>
      <c r="F220" s="36">
        <v>21.8</v>
      </c>
      <c r="G220" s="36">
        <v>0</v>
      </c>
      <c r="H220" s="36">
        <v>12.8</v>
      </c>
      <c r="I220" s="36">
        <v>13.9</v>
      </c>
      <c r="J220" s="36">
        <v>20.100000000000001</v>
      </c>
      <c r="K220" s="36">
        <v>22.3</v>
      </c>
      <c r="L220" s="44"/>
    </row>
    <row r="221" spans="1:12">
      <c r="A221" s="29">
        <v>105</v>
      </c>
      <c r="B221" s="36">
        <v>0</v>
      </c>
      <c r="C221" s="36">
        <v>13.2</v>
      </c>
      <c r="D221" s="36">
        <v>14.3</v>
      </c>
      <c r="E221" s="36">
        <v>20.100000000000001</v>
      </c>
      <c r="F221" s="36">
        <v>22</v>
      </c>
      <c r="G221" s="36">
        <v>0</v>
      </c>
      <c r="H221" s="36">
        <v>12.9</v>
      </c>
      <c r="I221" s="36">
        <v>14</v>
      </c>
      <c r="J221" s="36">
        <v>20.3</v>
      </c>
      <c r="K221" s="36">
        <v>22.5</v>
      </c>
      <c r="L221" s="44"/>
    </row>
    <row r="222" spans="1:12">
      <c r="A222" s="29">
        <v>105.5</v>
      </c>
      <c r="B222" s="36">
        <v>0</v>
      </c>
      <c r="C222" s="36">
        <v>13.3</v>
      </c>
      <c r="D222" s="36">
        <v>14.4</v>
      </c>
      <c r="E222" s="36">
        <v>20.3</v>
      </c>
      <c r="F222" s="36">
        <v>22.2</v>
      </c>
      <c r="G222" s="36">
        <v>0</v>
      </c>
      <c r="H222" s="36">
        <v>13</v>
      </c>
      <c r="I222" s="36">
        <v>14.2</v>
      </c>
      <c r="J222" s="36">
        <v>20.5</v>
      </c>
      <c r="K222" s="36">
        <v>22.7</v>
      </c>
      <c r="L222" s="44"/>
    </row>
    <row r="223" spans="1:12">
      <c r="A223" s="29">
        <v>106</v>
      </c>
      <c r="B223" s="36">
        <v>0</v>
      </c>
      <c r="C223" s="36">
        <v>13.4</v>
      </c>
      <c r="D223" s="36">
        <v>14.5</v>
      </c>
      <c r="E223" s="36">
        <v>20.5</v>
      </c>
      <c r="F223" s="36">
        <v>22.5</v>
      </c>
      <c r="G223" s="36">
        <v>0</v>
      </c>
      <c r="H223" s="36">
        <v>13.1</v>
      </c>
      <c r="I223" s="36">
        <v>14.3</v>
      </c>
      <c r="J223" s="36">
        <v>20.8</v>
      </c>
      <c r="K223" s="36">
        <v>23</v>
      </c>
      <c r="L223" s="44"/>
    </row>
    <row r="224" spans="1:12">
      <c r="A224" s="29">
        <v>106.5</v>
      </c>
      <c r="B224" s="36">
        <v>0</v>
      </c>
      <c r="C224" s="36">
        <v>13.5</v>
      </c>
      <c r="D224" s="36">
        <v>14.7</v>
      </c>
      <c r="E224" s="36">
        <v>20.7</v>
      </c>
      <c r="F224" s="36">
        <v>22.7</v>
      </c>
      <c r="G224" s="36">
        <v>0</v>
      </c>
      <c r="H224" s="36">
        <v>13.3</v>
      </c>
      <c r="I224" s="36">
        <v>14.5</v>
      </c>
      <c r="J224" s="36">
        <v>21</v>
      </c>
      <c r="K224" s="36">
        <v>23.2</v>
      </c>
      <c r="L224" s="44"/>
    </row>
    <row r="225" spans="1:12">
      <c r="A225" s="29">
        <v>107</v>
      </c>
      <c r="B225" s="36">
        <v>0</v>
      </c>
      <c r="C225" s="36">
        <v>13.7</v>
      </c>
      <c r="D225" s="36">
        <v>14.8</v>
      </c>
      <c r="E225" s="36">
        <v>20.9</v>
      </c>
      <c r="F225" s="36">
        <v>22.9</v>
      </c>
      <c r="G225" s="36">
        <v>0</v>
      </c>
      <c r="H225" s="36">
        <v>13.4</v>
      </c>
      <c r="I225" s="36">
        <v>14.6</v>
      </c>
      <c r="J225" s="36">
        <v>21.2</v>
      </c>
      <c r="K225" s="36">
        <v>23.5</v>
      </c>
      <c r="L225" s="44"/>
    </row>
    <row r="226" spans="1:12">
      <c r="A226" s="29">
        <v>107.5</v>
      </c>
      <c r="B226" s="36">
        <v>0</v>
      </c>
      <c r="C226" s="36">
        <v>13.8</v>
      </c>
      <c r="D226" s="36">
        <v>14.9</v>
      </c>
      <c r="E226" s="36">
        <v>21.1</v>
      </c>
      <c r="F226" s="36">
        <v>23.2</v>
      </c>
      <c r="G226" s="36">
        <v>0</v>
      </c>
      <c r="H226" s="36">
        <v>13.5</v>
      </c>
      <c r="I226" s="36">
        <v>14.7</v>
      </c>
      <c r="J226" s="36">
        <v>21.4</v>
      </c>
      <c r="K226" s="36">
        <v>23.7</v>
      </c>
      <c r="L226" s="44"/>
    </row>
    <row r="227" spans="1:12">
      <c r="A227" s="29">
        <v>108</v>
      </c>
      <c r="B227" s="36">
        <v>0</v>
      </c>
      <c r="C227" s="36">
        <v>13.9</v>
      </c>
      <c r="D227" s="36">
        <v>15.1</v>
      </c>
      <c r="E227" s="36">
        <v>21.3</v>
      </c>
      <c r="F227" s="36">
        <v>23.4</v>
      </c>
      <c r="G227" s="36">
        <v>0</v>
      </c>
      <c r="H227" s="36">
        <v>13.7</v>
      </c>
      <c r="I227" s="36">
        <v>14.9</v>
      </c>
      <c r="J227" s="36">
        <v>21.7</v>
      </c>
      <c r="K227" s="36">
        <v>24</v>
      </c>
      <c r="L227" s="44"/>
    </row>
    <row r="228" spans="1:12">
      <c r="A228" s="29">
        <v>108.5</v>
      </c>
      <c r="B228" s="36">
        <v>0</v>
      </c>
      <c r="C228" s="36">
        <v>14</v>
      </c>
      <c r="D228" s="36">
        <v>15.2</v>
      </c>
      <c r="E228" s="36">
        <v>21.5</v>
      </c>
      <c r="F228" s="36">
        <v>23.7</v>
      </c>
      <c r="G228" s="36">
        <v>0</v>
      </c>
      <c r="H228" s="36">
        <v>13.8</v>
      </c>
      <c r="I228" s="36">
        <v>15</v>
      </c>
      <c r="J228" s="36">
        <v>21.9</v>
      </c>
      <c r="K228" s="36">
        <v>24.3</v>
      </c>
      <c r="L228" s="44"/>
    </row>
    <row r="229" spans="1:12">
      <c r="A229" s="29">
        <v>109</v>
      </c>
      <c r="B229" s="36">
        <v>0</v>
      </c>
      <c r="C229" s="36">
        <v>14.1</v>
      </c>
      <c r="D229" s="36">
        <v>15.3</v>
      </c>
      <c r="E229" s="36">
        <v>21.8</v>
      </c>
      <c r="F229" s="36">
        <v>23.9</v>
      </c>
      <c r="G229" s="36">
        <v>0</v>
      </c>
      <c r="H229" s="36">
        <v>13.9</v>
      </c>
      <c r="I229" s="36">
        <v>15.2</v>
      </c>
      <c r="J229" s="36">
        <v>22.1</v>
      </c>
      <c r="K229" s="36">
        <v>24.5</v>
      </c>
      <c r="L229" s="44"/>
    </row>
    <row r="230" spans="1:12">
      <c r="A230" s="29">
        <v>109.5</v>
      </c>
      <c r="B230" s="36">
        <v>0</v>
      </c>
      <c r="C230" s="36">
        <v>14.3</v>
      </c>
      <c r="D230" s="36">
        <v>15.5</v>
      </c>
      <c r="E230" s="36">
        <v>22</v>
      </c>
      <c r="F230" s="36">
        <v>24.2</v>
      </c>
      <c r="G230" s="36">
        <v>0</v>
      </c>
      <c r="H230" s="36">
        <v>14.1</v>
      </c>
      <c r="I230" s="36">
        <v>15.4</v>
      </c>
      <c r="J230" s="36">
        <v>22.4</v>
      </c>
      <c r="K230" s="36">
        <v>24.8</v>
      </c>
      <c r="L230" s="44"/>
    </row>
    <row r="231" spans="1:12">
      <c r="A231" s="29">
        <v>110</v>
      </c>
      <c r="B231" s="36">
        <v>0</v>
      </c>
      <c r="C231" s="36">
        <v>14.4</v>
      </c>
      <c r="D231" s="36">
        <v>15.6</v>
      </c>
      <c r="E231" s="36">
        <v>22.2</v>
      </c>
      <c r="F231" s="36">
        <v>24.4</v>
      </c>
      <c r="G231" s="36">
        <v>0</v>
      </c>
      <c r="H231" s="36">
        <v>14.2</v>
      </c>
      <c r="I231" s="36">
        <v>15.5</v>
      </c>
      <c r="J231" s="36">
        <v>22.6</v>
      </c>
      <c r="K231" s="36">
        <v>25.1</v>
      </c>
      <c r="L231" s="44"/>
    </row>
    <row r="232" spans="1:12">
      <c r="A232" s="29">
        <v>110.5</v>
      </c>
      <c r="B232" s="36">
        <v>0</v>
      </c>
      <c r="C232" s="36">
        <v>14.5</v>
      </c>
      <c r="D232" s="36">
        <v>15.8</v>
      </c>
      <c r="E232" s="36">
        <v>22.4</v>
      </c>
      <c r="F232" s="36">
        <v>24.7</v>
      </c>
      <c r="G232" s="36">
        <v>0</v>
      </c>
      <c r="H232" s="36">
        <v>14.4</v>
      </c>
      <c r="I232" s="36">
        <v>15.7</v>
      </c>
      <c r="J232" s="36">
        <v>22.9</v>
      </c>
      <c r="K232" s="36">
        <v>25.4</v>
      </c>
      <c r="L232" s="44"/>
    </row>
    <row r="233" spans="1:12">
      <c r="A233" s="29">
        <v>111</v>
      </c>
      <c r="B233" s="36">
        <v>0</v>
      </c>
      <c r="C233" s="36">
        <v>14.6</v>
      </c>
      <c r="D233" s="36">
        <v>15.9</v>
      </c>
      <c r="E233" s="36">
        <v>22.7</v>
      </c>
      <c r="F233" s="36">
        <v>25</v>
      </c>
      <c r="G233" s="36">
        <v>0</v>
      </c>
      <c r="H233" s="36">
        <v>14.5</v>
      </c>
      <c r="I233" s="36">
        <v>15.8</v>
      </c>
      <c r="J233" s="36">
        <v>23.1</v>
      </c>
      <c r="K233" s="36">
        <v>25.7</v>
      </c>
      <c r="L233" s="44"/>
    </row>
    <row r="234" spans="1:12">
      <c r="A234" s="29">
        <v>111.5</v>
      </c>
      <c r="B234" s="36">
        <v>0</v>
      </c>
      <c r="C234" s="36">
        <v>14.8</v>
      </c>
      <c r="D234" s="36">
        <v>16</v>
      </c>
      <c r="E234" s="36">
        <v>22.9</v>
      </c>
      <c r="F234" s="36">
        <v>25.2</v>
      </c>
      <c r="G234" s="36">
        <v>0</v>
      </c>
      <c r="H234" s="36">
        <v>14.7</v>
      </c>
      <c r="I234" s="36">
        <v>16</v>
      </c>
      <c r="J234" s="36">
        <v>23.4</v>
      </c>
      <c r="K234" s="36">
        <v>26</v>
      </c>
      <c r="L234" s="44"/>
    </row>
    <row r="235" spans="1:12">
      <c r="A235" s="29">
        <v>112</v>
      </c>
      <c r="B235" s="36">
        <v>0</v>
      </c>
      <c r="C235" s="36">
        <v>14.9</v>
      </c>
      <c r="D235" s="36">
        <v>16.2</v>
      </c>
      <c r="E235" s="36">
        <v>23.1</v>
      </c>
      <c r="F235" s="36">
        <v>25.5</v>
      </c>
      <c r="G235" s="36">
        <v>0</v>
      </c>
      <c r="H235" s="36">
        <v>14.8</v>
      </c>
      <c r="I235" s="36">
        <v>16.2</v>
      </c>
      <c r="J235" s="36">
        <v>23.6</v>
      </c>
      <c r="K235" s="36">
        <v>26.2</v>
      </c>
      <c r="L235" s="44"/>
    </row>
    <row r="236" spans="1:12">
      <c r="A236" s="29">
        <v>112.5</v>
      </c>
      <c r="B236" s="36">
        <v>0</v>
      </c>
      <c r="C236" s="36">
        <v>15</v>
      </c>
      <c r="D236" s="36">
        <v>16.3</v>
      </c>
      <c r="E236" s="36">
        <v>23.4</v>
      </c>
      <c r="F236" s="36">
        <v>25.8</v>
      </c>
      <c r="G236" s="36">
        <v>0</v>
      </c>
      <c r="H236" s="36">
        <v>15</v>
      </c>
      <c r="I236" s="36">
        <v>16.3</v>
      </c>
      <c r="J236" s="36">
        <v>23.9</v>
      </c>
      <c r="K236" s="36">
        <v>26.5</v>
      </c>
      <c r="L236" s="44"/>
    </row>
    <row r="237" spans="1:12">
      <c r="A237" s="29">
        <v>113</v>
      </c>
      <c r="B237" s="36">
        <v>0</v>
      </c>
      <c r="C237" s="36">
        <v>15.2</v>
      </c>
      <c r="D237" s="36">
        <v>16.5</v>
      </c>
      <c r="E237" s="36">
        <v>23.6</v>
      </c>
      <c r="F237" s="36">
        <v>26</v>
      </c>
      <c r="G237" s="36">
        <v>0</v>
      </c>
      <c r="H237" s="36">
        <v>15.1</v>
      </c>
      <c r="I237" s="36">
        <v>16.5</v>
      </c>
      <c r="J237" s="36">
        <v>24.2</v>
      </c>
      <c r="K237" s="36">
        <v>26.8</v>
      </c>
      <c r="L237" s="44"/>
    </row>
    <row r="238" spans="1:12">
      <c r="A238" s="29">
        <v>113.5</v>
      </c>
      <c r="B238" s="36">
        <v>0</v>
      </c>
      <c r="C238" s="36">
        <v>15.3</v>
      </c>
      <c r="D238" s="36">
        <v>16.600000000000001</v>
      </c>
      <c r="E238" s="36">
        <v>23.9</v>
      </c>
      <c r="F238" s="36">
        <v>26.3</v>
      </c>
      <c r="G238" s="36">
        <v>0</v>
      </c>
      <c r="H238" s="36">
        <v>15.3</v>
      </c>
      <c r="I238" s="36">
        <v>16.7</v>
      </c>
      <c r="J238" s="36">
        <v>24.4</v>
      </c>
      <c r="K238" s="36">
        <v>27.1</v>
      </c>
      <c r="L238" s="44"/>
    </row>
    <row r="239" spans="1:12">
      <c r="A239" s="29">
        <v>114</v>
      </c>
      <c r="B239" s="36">
        <v>0</v>
      </c>
      <c r="C239" s="36">
        <v>15.4</v>
      </c>
      <c r="D239" s="36">
        <v>16.8</v>
      </c>
      <c r="E239" s="36">
        <v>24.1</v>
      </c>
      <c r="F239" s="36">
        <v>26.6</v>
      </c>
      <c r="G239" s="36">
        <v>0</v>
      </c>
      <c r="H239" s="36">
        <v>15.4</v>
      </c>
      <c r="I239" s="36">
        <v>16.8</v>
      </c>
      <c r="J239" s="36">
        <v>24.7</v>
      </c>
      <c r="K239" s="36">
        <v>27.4</v>
      </c>
      <c r="L239" s="44"/>
    </row>
    <row r="240" spans="1:12">
      <c r="A240" s="29">
        <v>114.5</v>
      </c>
      <c r="B240" s="36">
        <v>0</v>
      </c>
      <c r="C240" s="36">
        <v>15.6</v>
      </c>
      <c r="D240" s="36">
        <v>16.899999999999999</v>
      </c>
      <c r="E240" s="36">
        <v>24.4</v>
      </c>
      <c r="F240" s="36">
        <v>26.9</v>
      </c>
      <c r="G240" s="36">
        <v>0</v>
      </c>
      <c r="H240" s="36">
        <v>15.6</v>
      </c>
      <c r="I240" s="36">
        <v>17</v>
      </c>
      <c r="J240" s="36">
        <v>25</v>
      </c>
      <c r="K240" s="36">
        <v>27.8</v>
      </c>
      <c r="L240" s="44"/>
    </row>
    <row r="241" spans="1:12">
      <c r="A241" s="29">
        <v>115</v>
      </c>
      <c r="B241" s="36">
        <v>0</v>
      </c>
      <c r="C241" s="36">
        <v>15.7</v>
      </c>
      <c r="D241" s="36">
        <v>17.100000000000001</v>
      </c>
      <c r="E241" s="36">
        <v>24.6</v>
      </c>
      <c r="F241" s="36">
        <v>27.2</v>
      </c>
      <c r="G241" s="36">
        <v>0</v>
      </c>
      <c r="H241" s="36">
        <v>15.7</v>
      </c>
      <c r="I241" s="36">
        <v>17.2</v>
      </c>
      <c r="J241" s="36">
        <v>25.2</v>
      </c>
      <c r="K241" s="36">
        <v>28.1</v>
      </c>
      <c r="L241" s="44"/>
    </row>
    <row r="242" spans="1:12">
      <c r="A242" s="29">
        <v>115.5</v>
      </c>
      <c r="B242" s="36">
        <v>0</v>
      </c>
      <c r="C242" s="36">
        <v>15.8</v>
      </c>
      <c r="D242" s="36">
        <v>17.2</v>
      </c>
      <c r="E242" s="36">
        <v>24.9</v>
      </c>
      <c r="F242" s="36">
        <v>27.5</v>
      </c>
      <c r="G242" s="36">
        <v>0</v>
      </c>
      <c r="H242" s="36">
        <v>15.9</v>
      </c>
      <c r="I242" s="36">
        <v>17.3</v>
      </c>
      <c r="J242" s="36">
        <v>25.5</v>
      </c>
      <c r="K242" s="36">
        <v>28.4</v>
      </c>
      <c r="L242" s="44"/>
    </row>
    <row r="243" spans="1:12">
      <c r="A243" s="29">
        <v>116</v>
      </c>
      <c r="B243" s="36">
        <v>0</v>
      </c>
      <c r="C243" s="36">
        <v>16</v>
      </c>
      <c r="D243" s="36">
        <v>17.399999999999999</v>
      </c>
      <c r="E243" s="36">
        <v>25.1</v>
      </c>
      <c r="F243" s="36">
        <v>27.8</v>
      </c>
      <c r="G243" s="36">
        <v>0</v>
      </c>
      <c r="H243" s="36">
        <v>16</v>
      </c>
      <c r="I243" s="36">
        <v>17.5</v>
      </c>
      <c r="J243" s="36">
        <v>25.8</v>
      </c>
      <c r="K243" s="36">
        <v>28.7</v>
      </c>
      <c r="L243" s="44"/>
    </row>
    <row r="244" spans="1:12">
      <c r="A244" s="29">
        <v>116.5</v>
      </c>
      <c r="B244" s="36">
        <v>0</v>
      </c>
      <c r="C244" s="36">
        <v>16.100000000000001</v>
      </c>
      <c r="D244" s="36">
        <v>17.5</v>
      </c>
      <c r="E244" s="36">
        <v>25.4</v>
      </c>
      <c r="F244" s="36">
        <v>28</v>
      </c>
      <c r="G244" s="36">
        <v>0</v>
      </c>
      <c r="H244" s="36">
        <v>16.2</v>
      </c>
      <c r="I244" s="36">
        <v>17.7</v>
      </c>
      <c r="J244" s="36">
        <v>26.1</v>
      </c>
      <c r="K244" s="36">
        <v>29</v>
      </c>
      <c r="L244" s="44"/>
    </row>
    <row r="245" spans="1:12">
      <c r="A245" s="29">
        <v>117</v>
      </c>
      <c r="B245" s="36">
        <v>0</v>
      </c>
      <c r="C245" s="36">
        <v>16.2</v>
      </c>
      <c r="D245" s="36">
        <v>17.7</v>
      </c>
      <c r="E245" s="36">
        <v>25.6</v>
      </c>
      <c r="F245" s="36">
        <v>28.3</v>
      </c>
      <c r="G245" s="36">
        <v>0</v>
      </c>
      <c r="H245" s="36">
        <v>16.3</v>
      </c>
      <c r="I245" s="36">
        <v>17.8</v>
      </c>
      <c r="J245" s="36">
        <v>26.3</v>
      </c>
      <c r="K245" s="36">
        <v>29.3</v>
      </c>
      <c r="L245" s="44"/>
    </row>
    <row r="246" spans="1:12">
      <c r="A246" s="29">
        <v>117.5</v>
      </c>
      <c r="B246" s="36">
        <v>0</v>
      </c>
      <c r="C246" s="36">
        <v>16.399999999999999</v>
      </c>
      <c r="D246" s="36">
        <v>17.899999999999999</v>
      </c>
      <c r="E246" s="36">
        <v>25.9</v>
      </c>
      <c r="F246" s="36">
        <v>28.6</v>
      </c>
      <c r="G246" s="36">
        <v>0</v>
      </c>
      <c r="H246" s="36">
        <v>16.5</v>
      </c>
      <c r="I246" s="36">
        <v>18</v>
      </c>
      <c r="J246" s="36">
        <v>26.6</v>
      </c>
      <c r="K246" s="36">
        <v>29.6</v>
      </c>
      <c r="L246" s="44"/>
    </row>
    <row r="247" spans="1:12">
      <c r="A247" s="29">
        <v>118</v>
      </c>
      <c r="B247" s="36">
        <v>0</v>
      </c>
      <c r="C247" s="36">
        <v>16.5</v>
      </c>
      <c r="D247" s="36">
        <v>18</v>
      </c>
      <c r="E247" s="36">
        <v>26.1</v>
      </c>
      <c r="F247" s="36">
        <v>28.9</v>
      </c>
      <c r="G247" s="36">
        <v>0</v>
      </c>
      <c r="H247" s="36">
        <v>16.600000000000001</v>
      </c>
      <c r="I247" s="36">
        <v>18.2</v>
      </c>
      <c r="J247" s="36">
        <v>26.9</v>
      </c>
      <c r="K247" s="36">
        <v>29.9</v>
      </c>
      <c r="L247" s="44"/>
    </row>
    <row r="248" spans="1:12">
      <c r="A248" s="29">
        <v>118.5</v>
      </c>
      <c r="B248" s="36">
        <v>0</v>
      </c>
      <c r="C248" s="36">
        <v>16.7</v>
      </c>
      <c r="D248" s="36">
        <v>18.2</v>
      </c>
      <c r="E248" s="36">
        <v>26.4</v>
      </c>
      <c r="F248" s="36">
        <v>29.2</v>
      </c>
      <c r="G248" s="36">
        <v>0</v>
      </c>
      <c r="H248" s="36">
        <v>16.8</v>
      </c>
      <c r="I248" s="36">
        <v>18.399999999999999</v>
      </c>
      <c r="J248" s="36">
        <v>27.2</v>
      </c>
      <c r="K248" s="36">
        <v>30.3</v>
      </c>
      <c r="L248" s="44"/>
    </row>
    <row r="249" spans="1:12">
      <c r="A249" s="29">
        <v>119</v>
      </c>
      <c r="B249" s="36">
        <v>0</v>
      </c>
      <c r="C249" s="36">
        <v>16.8</v>
      </c>
      <c r="D249" s="36">
        <v>18.3</v>
      </c>
      <c r="E249" s="36">
        <v>26.6</v>
      </c>
      <c r="F249" s="36">
        <v>29.5</v>
      </c>
      <c r="G249" s="36">
        <v>0</v>
      </c>
      <c r="H249" s="36">
        <v>16.899999999999999</v>
      </c>
      <c r="I249" s="36">
        <v>18.5</v>
      </c>
      <c r="J249" s="36">
        <v>27.4</v>
      </c>
      <c r="K249" s="36">
        <v>30.6</v>
      </c>
      <c r="L249" s="44"/>
    </row>
    <row r="250" spans="1:12">
      <c r="A250" s="29">
        <v>119.5</v>
      </c>
      <c r="B250" s="36">
        <v>0</v>
      </c>
      <c r="C250" s="36">
        <v>16.899999999999999</v>
      </c>
      <c r="D250" s="36">
        <v>18.5</v>
      </c>
      <c r="E250" s="36">
        <v>26.9</v>
      </c>
      <c r="F250" s="36">
        <v>29.8</v>
      </c>
      <c r="G250" s="36">
        <v>0</v>
      </c>
      <c r="H250" s="36">
        <v>17.100000000000001</v>
      </c>
      <c r="I250" s="36">
        <v>18.7</v>
      </c>
      <c r="J250" s="36">
        <v>27.7</v>
      </c>
      <c r="K250" s="36">
        <v>30.9</v>
      </c>
      <c r="L250" s="44"/>
    </row>
    <row r="251" spans="1:12">
      <c r="A251" s="29">
        <v>120</v>
      </c>
      <c r="B251" s="36">
        <v>0</v>
      </c>
      <c r="C251" s="36">
        <v>17.100000000000001</v>
      </c>
      <c r="D251" s="36">
        <v>18.600000000000001</v>
      </c>
      <c r="E251" s="36">
        <v>27.2</v>
      </c>
      <c r="F251" s="36">
        <v>30.1</v>
      </c>
      <c r="G251" s="36">
        <v>0</v>
      </c>
      <c r="H251" s="36">
        <v>17.3</v>
      </c>
      <c r="I251" s="36">
        <v>18.899999999999999</v>
      </c>
      <c r="J251" s="36">
        <v>28</v>
      </c>
      <c r="K251" s="36">
        <v>31.2</v>
      </c>
      <c r="L251" s="44"/>
    </row>
    <row r="252" spans="1:12">
      <c r="A252" s="34"/>
    </row>
    <row r="253" spans="1:12">
      <c r="A253" s="34"/>
    </row>
    <row r="254" spans="1:12">
      <c r="A254" s="34"/>
    </row>
    <row r="255" spans="1:12">
      <c r="A255" s="34"/>
    </row>
    <row r="256" spans="1:12">
      <c r="A256" s="34"/>
    </row>
    <row r="257" spans="1:1">
      <c r="A257" s="34"/>
    </row>
    <row r="258" spans="1:1">
      <c r="A258" s="34"/>
    </row>
    <row r="259" spans="1:1">
      <c r="A259" s="34"/>
    </row>
    <row r="260" spans="1:1">
      <c r="A260" s="34"/>
    </row>
    <row r="261" spans="1:1">
      <c r="A261" s="34"/>
    </row>
    <row r="262" spans="1:1">
      <c r="A262" s="34"/>
    </row>
    <row r="263" spans="1:1">
      <c r="A263" s="34"/>
    </row>
    <row r="264" spans="1:1">
      <c r="A264" s="34"/>
    </row>
    <row r="265" spans="1:1">
      <c r="A265" s="34"/>
    </row>
    <row r="266" spans="1:1">
      <c r="A266" s="34"/>
    </row>
    <row r="267" spans="1:1">
      <c r="A267" s="34"/>
    </row>
    <row r="268" spans="1:1">
      <c r="A268" s="34"/>
    </row>
    <row r="269" spans="1:1">
      <c r="A269" s="34"/>
    </row>
    <row r="270" spans="1:1">
      <c r="A270" s="34"/>
    </row>
    <row r="271" spans="1:1">
      <c r="A271" s="34"/>
    </row>
  </sheetData>
  <mergeCells count="6">
    <mergeCell ref="A138:K138"/>
    <mergeCell ref="B139:F139"/>
    <mergeCell ref="G139:K139"/>
    <mergeCell ref="A1:K1"/>
    <mergeCell ref="B2:F2"/>
    <mergeCell ref="G2:K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5"/>
  <dimension ref="A1:K26"/>
  <sheetViews>
    <sheetView workbookViewId="0">
      <selection activeCell="T34" sqref="T34"/>
    </sheetView>
  </sheetViews>
  <sheetFormatPr defaultRowHeight="14.4"/>
  <cols>
    <col min="1" max="1" width="13" customWidth="1"/>
    <col min="2" max="2" width="11.6640625" customWidth="1"/>
    <col min="3" max="3" width="10.88671875" customWidth="1"/>
    <col min="7" max="7" width="10.88671875" customWidth="1"/>
    <col min="8" max="8" width="10.6640625" customWidth="1"/>
    <col min="257" max="257" width="13" customWidth="1"/>
    <col min="258" max="258" width="11.6640625" customWidth="1"/>
    <col min="259" max="259" width="10.88671875" customWidth="1"/>
    <col min="263" max="263" width="10.88671875" customWidth="1"/>
    <col min="264" max="264" width="10.6640625" customWidth="1"/>
    <col min="513" max="513" width="13" customWidth="1"/>
    <col min="514" max="514" width="11.6640625" customWidth="1"/>
    <col min="515" max="515" width="10.88671875" customWidth="1"/>
    <col min="519" max="519" width="10.88671875" customWidth="1"/>
    <col min="520" max="520" width="10.6640625" customWidth="1"/>
    <col min="769" max="769" width="13" customWidth="1"/>
    <col min="770" max="770" width="11.6640625" customWidth="1"/>
    <col min="771" max="771" width="10.88671875" customWidth="1"/>
    <col min="775" max="775" width="10.88671875" customWidth="1"/>
    <col min="776" max="776" width="10.6640625" customWidth="1"/>
    <col min="1025" max="1025" width="13" customWidth="1"/>
    <col min="1026" max="1026" width="11.6640625" customWidth="1"/>
    <col min="1027" max="1027" width="10.88671875" customWidth="1"/>
    <col min="1031" max="1031" width="10.88671875" customWidth="1"/>
    <col min="1032" max="1032" width="10.6640625" customWidth="1"/>
    <col min="1281" max="1281" width="13" customWidth="1"/>
    <col min="1282" max="1282" width="11.6640625" customWidth="1"/>
    <col min="1283" max="1283" width="10.88671875" customWidth="1"/>
    <col min="1287" max="1287" width="10.88671875" customWidth="1"/>
    <col min="1288" max="1288" width="10.6640625" customWidth="1"/>
    <col min="1537" max="1537" width="13" customWidth="1"/>
    <col min="1538" max="1538" width="11.6640625" customWidth="1"/>
    <col min="1539" max="1539" width="10.88671875" customWidth="1"/>
    <col min="1543" max="1543" width="10.88671875" customWidth="1"/>
    <col min="1544" max="1544" width="10.6640625" customWidth="1"/>
    <col min="1793" max="1793" width="13" customWidth="1"/>
    <col min="1794" max="1794" width="11.6640625" customWidth="1"/>
    <col min="1795" max="1795" width="10.88671875" customWidth="1"/>
    <col min="1799" max="1799" width="10.88671875" customWidth="1"/>
    <col min="1800" max="1800" width="10.6640625" customWidth="1"/>
    <col min="2049" max="2049" width="13" customWidth="1"/>
    <col min="2050" max="2050" width="11.6640625" customWidth="1"/>
    <col min="2051" max="2051" width="10.88671875" customWidth="1"/>
    <col min="2055" max="2055" width="10.88671875" customWidth="1"/>
    <col min="2056" max="2056" width="10.6640625" customWidth="1"/>
    <col min="2305" max="2305" width="13" customWidth="1"/>
    <col min="2306" max="2306" width="11.6640625" customWidth="1"/>
    <col min="2307" max="2307" width="10.88671875" customWidth="1"/>
    <col min="2311" max="2311" width="10.88671875" customWidth="1"/>
    <col min="2312" max="2312" width="10.6640625" customWidth="1"/>
    <col min="2561" max="2561" width="13" customWidth="1"/>
    <col min="2562" max="2562" width="11.6640625" customWidth="1"/>
    <col min="2563" max="2563" width="10.88671875" customWidth="1"/>
    <col min="2567" max="2567" width="10.88671875" customWidth="1"/>
    <col min="2568" max="2568" width="10.6640625" customWidth="1"/>
    <col min="2817" max="2817" width="13" customWidth="1"/>
    <col min="2818" max="2818" width="11.6640625" customWidth="1"/>
    <col min="2819" max="2819" width="10.88671875" customWidth="1"/>
    <col min="2823" max="2823" width="10.88671875" customWidth="1"/>
    <col min="2824" max="2824" width="10.6640625" customWidth="1"/>
    <col min="3073" max="3073" width="13" customWidth="1"/>
    <col min="3074" max="3074" width="11.6640625" customWidth="1"/>
    <col min="3075" max="3075" width="10.88671875" customWidth="1"/>
    <col min="3079" max="3079" width="10.88671875" customWidth="1"/>
    <col min="3080" max="3080" width="10.6640625" customWidth="1"/>
    <col min="3329" max="3329" width="13" customWidth="1"/>
    <col min="3330" max="3330" width="11.6640625" customWidth="1"/>
    <col min="3331" max="3331" width="10.88671875" customWidth="1"/>
    <col min="3335" max="3335" width="10.88671875" customWidth="1"/>
    <col min="3336" max="3336" width="10.6640625" customWidth="1"/>
    <col min="3585" max="3585" width="13" customWidth="1"/>
    <col min="3586" max="3586" width="11.6640625" customWidth="1"/>
    <col min="3587" max="3587" width="10.88671875" customWidth="1"/>
    <col min="3591" max="3591" width="10.88671875" customWidth="1"/>
    <col min="3592" max="3592" width="10.6640625" customWidth="1"/>
    <col min="3841" max="3841" width="13" customWidth="1"/>
    <col min="3842" max="3842" width="11.6640625" customWidth="1"/>
    <col min="3843" max="3843" width="10.88671875" customWidth="1"/>
    <col min="3847" max="3847" width="10.88671875" customWidth="1"/>
    <col min="3848" max="3848" width="10.6640625" customWidth="1"/>
    <col min="4097" max="4097" width="13" customWidth="1"/>
    <col min="4098" max="4098" width="11.6640625" customWidth="1"/>
    <col min="4099" max="4099" width="10.88671875" customWidth="1"/>
    <col min="4103" max="4103" width="10.88671875" customWidth="1"/>
    <col min="4104" max="4104" width="10.6640625" customWidth="1"/>
    <col min="4353" max="4353" width="13" customWidth="1"/>
    <col min="4354" max="4354" width="11.6640625" customWidth="1"/>
    <col min="4355" max="4355" width="10.88671875" customWidth="1"/>
    <col min="4359" max="4359" width="10.88671875" customWidth="1"/>
    <col min="4360" max="4360" width="10.6640625" customWidth="1"/>
    <col min="4609" max="4609" width="13" customWidth="1"/>
    <col min="4610" max="4610" width="11.6640625" customWidth="1"/>
    <col min="4611" max="4611" width="10.88671875" customWidth="1"/>
    <col min="4615" max="4615" width="10.88671875" customWidth="1"/>
    <col min="4616" max="4616" width="10.6640625" customWidth="1"/>
    <col min="4865" max="4865" width="13" customWidth="1"/>
    <col min="4866" max="4866" width="11.6640625" customWidth="1"/>
    <col min="4867" max="4867" width="10.88671875" customWidth="1"/>
    <col min="4871" max="4871" width="10.88671875" customWidth="1"/>
    <col min="4872" max="4872" width="10.6640625" customWidth="1"/>
    <col min="5121" max="5121" width="13" customWidth="1"/>
    <col min="5122" max="5122" width="11.6640625" customWidth="1"/>
    <col min="5123" max="5123" width="10.88671875" customWidth="1"/>
    <col min="5127" max="5127" width="10.88671875" customWidth="1"/>
    <col min="5128" max="5128" width="10.6640625" customWidth="1"/>
    <col min="5377" max="5377" width="13" customWidth="1"/>
    <col min="5378" max="5378" width="11.6640625" customWidth="1"/>
    <col min="5379" max="5379" width="10.88671875" customWidth="1"/>
    <col min="5383" max="5383" width="10.88671875" customWidth="1"/>
    <col min="5384" max="5384" width="10.6640625" customWidth="1"/>
    <col min="5633" max="5633" width="13" customWidth="1"/>
    <col min="5634" max="5634" width="11.6640625" customWidth="1"/>
    <col min="5635" max="5635" width="10.88671875" customWidth="1"/>
    <col min="5639" max="5639" width="10.88671875" customWidth="1"/>
    <col min="5640" max="5640" width="10.6640625" customWidth="1"/>
    <col min="5889" max="5889" width="13" customWidth="1"/>
    <col min="5890" max="5890" width="11.6640625" customWidth="1"/>
    <col min="5891" max="5891" width="10.88671875" customWidth="1"/>
    <col min="5895" max="5895" width="10.88671875" customWidth="1"/>
    <col min="5896" max="5896" width="10.6640625" customWidth="1"/>
    <col min="6145" max="6145" width="13" customWidth="1"/>
    <col min="6146" max="6146" width="11.6640625" customWidth="1"/>
    <col min="6147" max="6147" width="10.88671875" customWidth="1"/>
    <col min="6151" max="6151" width="10.88671875" customWidth="1"/>
    <col min="6152" max="6152" width="10.6640625" customWidth="1"/>
    <col min="6401" max="6401" width="13" customWidth="1"/>
    <col min="6402" max="6402" width="11.6640625" customWidth="1"/>
    <col min="6403" max="6403" width="10.88671875" customWidth="1"/>
    <col min="6407" max="6407" width="10.88671875" customWidth="1"/>
    <col min="6408" max="6408" width="10.6640625" customWidth="1"/>
    <col min="6657" max="6657" width="13" customWidth="1"/>
    <col min="6658" max="6658" width="11.6640625" customWidth="1"/>
    <col min="6659" max="6659" width="10.88671875" customWidth="1"/>
    <col min="6663" max="6663" width="10.88671875" customWidth="1"/>
    <col min="6664" max="6664" width="10.6640625" customWidth="1"/>
    <col min="6913" max="6913" width="13" customWidth="1"/>
    <col min="6914" max="6914" width="11.6640625" customWidth="1"/>
    <col min="6915" max="6915" width="10.88671875" customWidth="1"/>
    <col min="6919" max="6919" width="10.88671875" customWidth="1"/>
    <col min="6920" max="6920" width="10.6640625" customWidth="1"/>
    <col min="7169" max="7169" width="13" customWidth="1"/>
    <col min="7170" max="7170" width="11.6640625" customWidth="1"/>
    <col min="7171" max="7171" width="10.88671875" customWidth="1"/>
    <col min="7175" max="7175" width="10.88671875" customWidth="1"/>
    <col min="7176" max="7176" width="10.6640625" customWidth="1"/>
    <col min="7425" max="7425" width="13" customWidth="1"/>
    <col min="7426" max="7426" width="11.6640625" customWidth="1"/>
    <col min="7427" max="7427" width="10.88671875" customWidth="1"/>
    <col min="7431" max="7431" width="10.88671875" customWidth="1"/>
    <col min="7432" max="7432" width="10.6640625" customWidth="1"/>
    <col min="7681" max="7681" width="13" customWidth="1"/>
    <col min="7682" max="7682" width="11.6640625" customWidth="1"/>
    <col min="7683" max="7683" width="10.88671875" customWidth="1"/>
    <col min="7687" max="7687" width="10.88671875" customWidth="1"/>
    <col min="7688" max="7688" width="10.6640625" customWidth="1"/>
    <col min="7937" max="7937" width="13" customWidth="1"/>
    <col min="7938" max="7938" width="11.6640625" customWidth="1"/>
    <col min="7939" max="7939" width="10.88671875" customWidth="1"/>
    <col min="7943" max="7943" width="10.88671875" customWidth="1"/>
    <col min="7944" max="7944" width="10.6640625" customWidth="1"/>
    <col min="8193" max="8193" width="13" customWidth="1"/>
    <col min="8194" max="8194" width="11.6640625" customWidth="1"/>
    <col min="8195" max="8195" width="10.88671875" customWidth="1"/>
    <col min="8199" max="8199" width="10.88671875" customWidth="1"/>
    <col min="8200" max="8200" width="10.6640625" customWidth="1"/>
    <col min="8449" max="8449" width="13" customWidth="1"/>
    <col min="8450" max="8450" width="11.6640625" customWidth="1"/>
    <col min="8451" max="8451" width="10.88671875" customWidth="1"/>
    <col min="8455" max="8455" width="10.88671875" customWidth="1"/>
    <col min="8456" max="8456" width="10.6640625" customWidth="1"/>
    <col min="8705" max="8705" width="13" customWidth="1"/>
    <col min="8706" max="8706" width="11.6640625" customWidth="1"/>
    <col min="8707" max="8707" width="10.88671875" customWidth="1"/>
    <col min="8711" max="8711" width="10.88671875" customWidth="1"/>
    <col min="8712" max="8712" width="10.6640625" customWidth="1"/>
    <col min="8961" max="8961" width="13" customWidth="1"/>
    <col min="8962" max="8962" width="11.6640625" customWidth="1"/>
    <col min="8963" max="8963" width="10.88671875" customWidth="1"/>
    <col min="8967" max="8967" width="10.88671875" customWidth="1"/>
    <col min="8968" max="8968" width="10.6640625" customWidth="1"/>
    <col min="9217" max="9217" width="13" customWidth="1"/>
    <col min="9218" max="9218" width="11.6640625" customWidth="1"/>
    <col min="9219" max="9219" width="10.88671875" customWidth="1"/>
    <col min="9223" max="9223" width="10.88671875" customWidth="1"/>
    <col min="9224" max="9224" width="10.6640625" customWidth="1"/>
    <col min="9473" max="9473" width="13" customWidth="1"/>
    <col min="9474" max="9474" width="11.6640625" customWidth="1"/>
    <col min="9475" max="9475" width="10.88671875" customWidth="1"/>
    <col min="9479" max="9479" width="10.88671875" customWidth="1"/>
    <col min="9480" max="9480" width="10.6640625" customWidth="1"/>
    <col min="9729" max="9729" width="13" customWidth="1"/>
    <col min="9730" max="9730" width="11.6640625" customWidth="1"/>
    <col min="9731" max="9731" width="10.88671875" customWidth="1"/>
    <col min="9735" max="9735" width="10.88671875" customWidth="1"/>
    <col min="9736" max="9736" width="10.6640625" customWidth="1"/>
    <col min="9985" max="9985" width="13" customWidth="1"/>
    <col min="9986" max="9986" width="11.6640625" customWidth="1"/>
    <col min="9987" max="9987" width="10.88671875" customWidth="1"/>
    <col min="9991" max="9991" width="10.88671875" customWidth="1"/>
    <col min="9992" max="9992" width="10.6640625" customWidth="1"/>
    <col min="10241" max="10241" width="13" customWidth="1"/>
    <col min="10242" max="10242" width="11.6640625" customWidth="1"/>
    <col min="10243" max="10243" width="10.88671875" customWidth="1"/>
    <col min="10247" max="10247" width="10.88671875" customWidth="1"/>
    <col min="10248" max="10248" width="10.6640625" customWidth="1"/>
    <col min="10497" max="10497" width="13" customWidth="1"/>
    <col min="10498" max="10498" width="11.6640625" customWidth="1"/>
    <col min="10499" max="10499" width="10.88671875" customWidth="1"/>
    <col min="10503" max="10503" width="10.88671875" customWidth="1"/>
    <col min="10504" max="10504" width="10.6640625" customWidth="1"/>
    <col min="10753" max="10753" width="13" customWidth="1"/>
    <col min="10754" max="10754" width="11.6640625" customWidth="1"/>
    <col min="10755" max="10755" width="10.88671875" customWidth="1"/>
    <col min="10759" max="10759" width="10.88671875" customWidth="1"/>
    <col min="10760" max="10760" width="10.6640625" customWidth="1"/>
    <col min="11009" max="11009" width="13" customWidth="1"/>
    <col min="11010" max="11010" width="11.6640625" customWidth="1"/>
    <col min="11011" max="11011" width="10.88671875" customWidth="1"/>
    <col min="11015" max="11015" width="10.88671875" customWidth="1"/>
    <col min="11016" max="11016" width="10.6640625" customWidth="1"/>
    <col min="11265" max="11265" width="13" customWidth="1"/>
    <col min="11266" max="11266" width="11.6640625" customWidth="1"/>
    <col min="11267" max="11267" width="10.88671875" customWidth="1"/>
    <col min="11271" max="11271" width="10.88671875" customWidth="1"/>
    <col min="11272" max="11272" width="10.6640625" customWidth="1"/>
    <col min="11521" max="11521" width="13" customWidth="1"/>
    <col min="11522" max="11522" width="11.6640625" customWidth="1"/>
    <col min="11523" max="11523" width="10.88671875" customWidth="1"/>
    <col min="11527" max="11527" width="10.88671875" customWidth="1"/>
    <col min="11528" max="11528" width="10.6640625" customWidth="1"/>
    <col min="11777" max="11777" width="13" customWidth="1"/>
    <col min="11778" max="11778" width="11.6640625" customWidth="1"/>
    <col min="11779" max="11779" width="10.88671875" customWidth="1"/>
    <col min="11783" max="11783" width="10.88671875" customWidth="1"/>
    <col min="11784" max="11784" width="10.6640625" customWidth="1"/>
    <col min="12033" max="12033" width="13" customWidth="1"/>
    <col min="12034" max="12034" width="11.6640625" customWidth="1"/>
    <col min="12035" max="12035" width="10.88671875" customWidth="1"/>
    <col min="12039" max="12039" width="10.88671875" customWidth="1"/>
    <col min="12040" max="12040" width="10.6640625" customWidth="1"/>
    <col min="12289" max="12289" width="13" customWidth="1"/>
    <col min="12290" max="12290" width="11.6640625" customWidth="1"/>
    <col min="12291" max="12291" width="10.88671875" customWidth="1"/>
    <col min="12295" max="12295" width="10.88671875" customWidth="1"/>
    <col min="12296" max="12296" width="10.6640625" customWidth="1"/>
    <col min="12545" max="12545" width="13" customWidth="1"/>
    <col min="12546" max="12546" width="11.6640625" customWidth="1"/>
    <col min="12547" max="12547" width="10.88671875" customWidth="1"/>
    <col min="12551" max="12551" width="10.88671875" customWidth="1"/>
    <col min="12552" max="12552" width="10.6640625" customWidth="1"/>
    <col min="12801" max="12801" width="13" customWidth="1"/>
    <col min="12802" max="12802" width="11.6640625" customWidth="1"/>
    <col min="12803" max="12803" width="10.88671875" customWidth="1"/>
    <col min="12807" max="12807" width="10.88671875" customWidth="1"/>
    <col min="12808" max="12808" width="10.6640625" customWidth="1"/>
    <col min="13057" max="13057" width="13" customWidth="1"/>
    <col min="13058" max="13058" width="11.6640625" customWidth="1"/>
    <col min="13059" max="13059" width="10.88671875" customWidth="1"/>
    <col min="13063" max="13063" width="10.88671875" customWidth="1"/>
    <col min="13064" max="13064" width="10.6640625" customWidth="1"/>
    <col min="13313" max="13313" width="13" customWidth="1"/>
    <col min="13314" max="13314" width="11.6640625" customWidth="1"/>
    <col min="13315" max="13315" width="10.88671875" customWidth="1"/>
    <col min="13319" max="13319" width="10.88671875" customWidth="1"/>
    <col min="13320" max="13320" width="10.6640625" customWidth="1"/>
    <col min="13569" max="13569" width="13" customWidth="1"/>
    <col min="13570" max="13570" width="11.6640625" customWidth="1"/>
    <col min="13571" max="13571" width="10.88671875" customWidth="1"/>
    <col min="13575" max="13575" width="10.88671875" customWidth="1"/>
    <col min="13576" max="13576" width="10.6640625" customWidth="1"/>
    <col min="13825" max="13825" width="13" customWidth="1"/>
    <col min="13826" max="13826" width="11.6640625" customWidth="1"/>
    <col min="13827" max="13827" width="10.88671875" customWidth="1"/>
    <col min="13831" max="13831" width="10.88671875" customWidth="1"/>
    <col min="13832" max="13832" width="10.6640625" customWidth="1"/>
    <col min="14081" max="14081" width="13" customWidth="1"/>
    <col min="14082" max="14082" width="11.6640625" customWidth="1"/>
    <col min="14083" max="14083" width="10.88671875" customWidth="1"/>
    <col min="14087" max="14087" width="10.88671875" customWidth="1"/>
    <col min="14088" max="14088" width="10.6640625" customWidth="1"/>
    <col min="14337" max="14337" width="13" customWidth="1"/>
    <col min="14338" max="14338" width="11.6640625" customWidth="1"/>
    <col min="14339" max="14339" width="10.88671875" customWidth="1"/>
    <col min="14343" max="14343" width="10.88671875" customWidth="1"/>
    <col min="14344" max="14344" width="10.6640625" customWidth="1"/>
    <col min="14593" max="14593" width="13" customWidth="1"/>
    <col min="14594" max="14594" width="11.6640625" customWidth="1"/>
    <col min="14595" max="14595" width="10.88671875" customWidth="1"/>
    <col min="14599" max="14599" width="10.88671875" customWidth="1"/>
    <col min="14600" max="14600" width="10.6640625" customWidth="1"/>
    <col min="14849" max="14849" width="13" customWidth="1"/>
    <col min="14850" max="14850" width="11.6640625" customWidth="1"/>
    <col min="14851" max="14851" width="10.88671875" customWidth="1"/>
    <col min="14855" max="14855" width="10.88671875" customWidth="1"/>
    <col min="14856" max="14856" width="10.6640625" customWidth="1"/>
    <col min="15105" max="15105" width="13" customWidth="1"/>
    <col min="15106" max="15106" width="11.6640625" customWidth="1"/>
    <col min="15107" max="15107" width="10.88671875" customWidth="1"/>
    <col min="15111" max="15111" width="10.88671875" customWidth="1"/>
    <col min="15112" max="15112" width="10.6640625" customWidth="1"/>
    <col min="15361" max="15361" width="13" customWidth="1"/>
    <col min="15362" max="15362" width="11.6640625" customWidth="1"/>
    <col min="15363" max="15363" width="10.88671875" customWidth="1"/>
    <col min="15367" max="15367" width="10.88671875" customWidth="1"/>
    <col min="15368" max="15368" width="10.6640625" customWidth="1"/>
    <col min="15617" max="15617" width="13" customWidth="1"/>
    <col min="15618" max="15618" width="11.6640625" customWidth="1"/>
    <col min="15619" max="15619" width="10.88671875" customWidth="1"/>
    <col min="15623" max="15623" width="10.88671875" customWidth="1"/>
    <col min="15624" max="15624" width="10.6640625" customWidth="1"/>
    <col min="15873" max="15873" width="13" customWidth="1"/>
    <col min="15874" max="15874" width="11.6640625" customWidth="1"/>
    <col min="15875" max="15875" width="10.88671875" customWidth="1"/>
    <col min="15879" max="15879" width="10.88671875" customWidth="1"/>
    <col min="15880" max="15880" width="10.6640625" customWidth="1"/>
    <col min="16129" max="16129" width="13" customWidth="1"/>
    <col min="16130" max="16130" width="11.6640625" customWidth="1"/>
    <col min="16131" max="16131" width="10.88671875" customWidth="1"/>
    <col min="16135" max="16135" width="10.88671875" customWidth="1"/>
    <col min="16136" max="16136" width="10.6640625" customWidth="1"/>
  </cols>
  <sheetData>
    <row r="1" spans="1:11" ht="15.6">
      <c r="A1" s="48"/>
      <c r="B1" s="98" t="s">
        <v>10</v>
      </c>
      <c r="C1" s="98"/>
      <c r="D1" s="98"/>
      <c r="E1" s="98"/>
      <c r="F1" s="98"/>
      <c r="G1" s="98" t="s">
        <v>11</v>
      </c>
      <c r="H1" s="98"/>
      <c r="I1" s="98"/>
      <c r="J1" s="98"/>
      <c r="K1" s="98"/>
    </row>
    <row r="2" spans="1:11" ht="31.2">
      <c r="A2" s="11" t="s">
        <v>96</v>
      </c>
      <c r="B2" s="49" t="s">
        <v>94</v>
      </c>
      <c r="C2" s="49" t="s">
        <v>35</v>
      </c>
      <c r="D2" s="49" t="s">
        <v>25</v>
      </c>
      <c r="E2" s="49" t="s">
        <v>33</v>
      </c>
      <c r="F2" s="49" t="s">
        <v>37</v>
      </c>
      <c r="G2" s="49" t="s">
        <v>94</v>
      </c>
      <c r="H2" s="49" t="s">
        <v>35</v>
      </c>
      <c r="I2" s="49" t="s">
        <v>25</v>
      </c>
      <c r="J2" s="49" t="s">
        <v>33</v>
      </c>
      <c r="K2" s="49" t="s">
        <v>37</v>
      </c>
    </row>
    <row r="3" spans="1:11" ht="15.6">
      <c r="A3" s="12">
        <v>61</v>
      </c>
      <c r="B3" s="12">
        <v>0</v>
      </c>
      <c r="C3" s="12">
        <v>12.1</v>
      </c>
      <c r="D3" s="12">
        <v>13</v>
      </c>
      <c r="E3" s="12">
        <v>16.600000000000001</v>
      </c>
      <c r="F3" s="12">
        <v>18.3</v>
      </c>
      <c r="G3" s="12">
        <v>0</v>
      </c>
      <c r="H3" s="12">
        <v>11.8</v>
      </c>
      <c r="I3" s="12">
        <v>12.7</v>
      </c>
      <c r="J3" s="12">
        <v>16.899999999999999</v>
      </c>
      <c r="K3" s="12">
        <v>18.899999999999999</v>
      </c>
    </row>
    <row r="4" spans="1:11" ht="15.6">
      <c r="A4" s="12">
        <v>62</v>
      </c>
      <c r="B4" s="12">
        <v>0</v>
      </c>
      <c r="C4" s="12">
        <v>12.1</v>
      </c>
      <c r="D4" s="12">
        <v>13</v>
      </c>
      <c r="E4" s="50">
        <v>16.600000000000001</v>
      </c>
      <c r="F4" s="12">
        <v>18.3</v>
      </c>
      <c r="G4" s="12">
        <v>0</v>
      </c>
      <c r="H4" s="50">
        <v>11.8</v>
      </c>
      <c r="I4" s="12">
        <v>12.7</v>
      </c>
      <c r="J4" s="12">
        <v>16.899999999999999</v>
      </c>
      <c r="K4" s="50">
        <v>18.899999999999999</v>
      </c>
    </row>
    <row r="5" spans="1:11" ht="15.6">
      <c r="A5" s="12">
        <v>63</v>
      </c>
      <c r="B5" s="12">
        <v>0</v>
      </c>
      <c r="C5" s="12">
        <v>12.1</v>
      </c>
      <c r="D5" s="12">
        <v>13</v>
      </c>
      <c r="E5" s="12">
        <v>16.7</v>
      </c>
      <c r="F5" s="12">
        <v>18.3</v>
      </c>
      <c r="G5" s="12">
        <v>0</v>
      </c>
      <c r="H5" s="12">
        <v>11.8</v>
      </c>
      <c r="I5" s="12">
        <v>12.7</v>
      </c>
      <c r="J5" s="12">
        <v>16.899999999999999</v>
      </c>
      <c r="K5" s="12">
        <v>18.899999999999999</v>
      </c>
    </row>
    <row r="6" spans="1:11" ht="15.6">
      <c r="A6" s="12">
        <v>64</v>
      </c>
      <c r="B6" s="12">
        <v>0</v>
      </c>
      <c r="C6" s="12">
        <v>12.1</v>
      </c>
      <c r="D6" s="12">
        <v>13</v>
      </c>
      <c r="E6" s="12">
        <v>16.7</v>
      </c>
      <c r="F6" s="12">
        <v>18.3</v>
      </c>
      <c r="G6" s="12">
        <v>0</v>
      </c>
      <c r="H6" s="12">
        <v>11.8</v>
      </c>
      <c r="I6" s="12">
        <v>12.7</v>
      </c>
      <c r="J6" s="12">
        <v>16.899999999999999</v>
      </c>
      <c r="K6" s="12">
        <v>18.899999999999999</v>
      </c>
    </row>
    <row r="7" spans="1:11" ht="15.6">
      <c r="A7" s="12">
        <v>65</v>
      </c>
      <c r="B7" s="12">
        <v>0</v>
      </c>
      <c r="C7" s="12">
        <v>12.1</v>
      </c>
      <c r="D7" s="12">
        <v>13</v>
      </c>
      <c r="E7" s="12">
        <v>16.7</v>
      </c>
      <c r="F7" s="12">
        <v>18.3</v>
      </c>
      <c r="G7" s="12">
        <v>0</v>
      </c>
      <c r="H7" s="12">
        <v>11.7</v>
      </c>
      <c r="I7" s="12">
        <v>12.7</v>
      </c>
      <c r="J7" s="12">
        <v>16.899999999999999</v>
      </c>
      <c r="K7" s="12">
        <v>19</v>
      </c>
    </row>
    <row r="8" spans="1:11" ht="15.6">
      <c r="A8" s="12">
        <v>66</v>
      </c>
      <c r="B8" s="12">
        <v>0</v>
      </c>
      <c r="C8" s="12">
        <v>12.1</v>
      </c>
      <c r="D8" s="12">
        <v>13</v>
      </c>
      <c r="E8" s="12">
        <v>16.7</v>
      </c>
      <c r="F8" s="12">
        <v>18.399999999999999</v>
      </c>
      <c r="G8" s="12">
        <v>0</v>
      </c>
      <c r="H8" s="12">
        <v>11.7</v>
      </c>
      <c r="I8" s="12">
        <v>12.7</v>
      </c>
      <c r="J8" s="12">
        <v>16.899999999999999</v>
      </c>
      <c r="K8" s="12">
        <v>19</v>
      </c>
    </row>
    <row r="9" spans="1:11" ht="15.6">
      <c r="A9" s="12">
        <v>67</v>
      </c>
      <c r="B9" s="12">
        <v>0</v>
      </c>
      <c r="C9" s="12">
        <v>12.1</v>
      </c>
      <c r="D9" s="12">
        <v>13</v>
      </c>
      <c r="E9" s="12">
        <v>16.7</v>
      </c>
      <c r="F9" s="50">
        <v>18.399999999999999</v>
      </c>
      <c r="G9" s="12">
        <v>0</v>
      </c>
      <c r="H9" s="12">
        <v>11.7</v>
      </c>
      <c r="I9" s="12">
        <v>12.7</v>
      </c>
      <c r="J9" s="12">
        <v>16.899999999999999</v>
      </c>
      <c r="K9" s="50">
        <v>19</v>
      </c>
    </row>
    <row r="10" spans="1:11" ht="15.6">
      <c r="A10" s="12">
        <v>68</v>
      </c>
      <c r="B10" s="12">
        <v>0</v>
      </c>
      <c r="C10" s="12">
        <v>12.1</v>
      </c>
      <c r="D10" s="12">
        <v>13</v>
      </c>
      <c r="E10" s="12">
        <v>16.7</v>
      </c>
      <c r="F10" s="50">
        <v>18.399999999999999</v>
      </c>
      <c r="G10" s="12">
        <v>0</v>
      </c>
      <c r="H10" s="12">
        <v>11.7</v>
      </c>
      <c r="I10" s="12">
        <v>12.7</v>
      </c>
      <c r="J10" s="50">
        <v>17</v>
      </c>
      <c r="K10" s="50">
        <v>19.100000000000001</v>
      </c>
    </row>
    <row r="11" spans="1:11" ht="15.6">
      <c r="A11" s="12">
        <v>69</v>
      </c>
      <c r="B11" s="12">
        <v>0</v>
      </c>
      <c r="C11" s="12">
        <v>12.1</v>
      </c>
      <c r="D11" s="12">
        <v>13</v>
      </c>
      <c r="E11" s="12">
        <v>16.7</v>
      </c>
      <c r="F11" s="12">
        <v>18.399999999999999</v>
      </c>
      <c r="G11" s="12">
        <v>0</v>
      </c>
      <c r="H11" s="12">
        <v>11.7</v>
      </c>
      <c r="I11" s="12">
        <v>12.7</v>
      </c>
      <c r="J11" s="50">
        <v>17</v>
      </c>
      <c r="K11" s="12">
        <v>19.100000000000001</v>
      </c>
    </row>
    <row r="12" spans="1:11" ht="15.6">
      <c r="A12" s="12">
        <v>70</v>
      </c>
      <c r="B12" s="12">
        <v>0</v>
      </c>
      <c r="C12" s="12">
        <v>12.1</v>
      </c>
      <c r="D12" s="12">
        <v>13</v>
      </c>
      <c r="E12" s="12">
        <v>16.7</v>
      </c>
      <c r="F12" s="12">
        <v>18.5</v>
      </c>
      <c r="G12" s="12">
        <v>0</v>
      </c>
      <c r="H12" s="12">
        <v>11.7</v>
      </c>
      <c r="I12" s="12">
        <v>12.7</v>
      </c>
      <c r="J12" s="50">
        <v>17</v>
      </c>
      <c r="K12" s="12">
        <v>19.100000000000001</v>
      </c>
    </row>
    <row r="13" spans="1:11" ht="15.6">
      <c r="A13" s="12">
        <v>71</v>
      </c>
      <c r="B13" s="12">
        <v>0</v>
      </c>
      <c r="C13" s="12">
        <v>12.1</v>
      </c>
      <c r="D13" s="12">
        <v>13</v>
      </c>
      <c r="E13" s="12">
        <v>16.7</v>
      </c>
      <c r="F13" s="12">
        <v>18.5</v>
      </c>
      <c r="G13" s="12">
        <v>0</v>
      </c>
      <c r="H13" s="12">
        <v>11.7</v>
      </c>
      <c r="I13" s="12">
        <v>12.7</v>
      </c>
      <c r="J13" s="50">
        <v>17</v>
      </c>
      <c r="K13" s="12">
        <v>19.2</v>
      </c>
    </row>
    <row r="14" spans="1:11" ht="15.6">
      <c r="A14" s="12">
        <v>72</v>
      </c>
      <c r="B14" s="12">
        <v>0</v>
      </c>
      <c r="C14" s="12">
        <v>12.1</v>
      </c>
      <c r="D14" s="12">
        <v>13</v>
      </c>
      <c r="E14" s="12">
        <v>16.8</v>
      </c>
      <c r="F14" s="12">
        <v>18.5</v>
      </c>
      <c r="G14" s="12">
        <v>0</v>
      </c>
      <c r="H14" s="12">
        <v>11.7</v>
      </c>
      <c r="I14" s="12">
        <v>12.7</v>
      </c>
      <c r="J14" s="50">
        <v>17</v>
      </c>
      <c r="K14" s="12">
        <v>19.2</v>
      </c>
    </row>
    <row r="15" spans="1:11" ht="15.6">
      <c r="A15" s="12">
        <v>73</v>
      </c>
      <c r="B15" s="12">
        <v>0</v>
      </c>
      <c r="C15" s="12">
        <v>12.1</v>
      </c>
      <c r="D15" s="12">
        <v>13</v>
      </c>
      <c r="E15" s="12">
        <v>16.8</v>
      </c>
      <c r="F15" s="12">
        <v>18.600000000000001</v>
      </c>
      <c r="G15" s="12">
        <v>0</v>
      </c>
      <c r="H15" s="12">
        <v>11.7</v>
      </c>
      <c r="I15" s="12">
        <v>12.7</v>
      </c>
      <c r="J15" s="50">
        <v>17</v>
      </c>
      <c r="K15" s="12">
        <v>19.3</v>
      </c>
    </row>
    <row r="16" spans="1:11" ht="15.6">
      <c r="A16" s="12">
        <v>74</v>
      </c>
      <c r="B16" s="12">
        <v>0</v>
      </c>
      <c r="C16" s="12">
        <v>12.2</v>
      </c>
      <c r="D16" s="12">
        <v>13.1</v>
      </c>
      <c r="E16" s="12">
        <v>16.8</v>
      </c>
      <c r="F16" s="12">
        <v>18.600000000000001</v>
      </c>
      <c r="G16" s="12">
        <v>0</v>
      </c>
      <c r="H16" s="12">
        <v>11.7</v>
      </c>
      <c r="I16" s="12">
        <v>12.7</v>
      </c>
      <c r="J16" s="50">
        <v>17</v>
      </c>
      <c r="K16" s="12">
        <v>19.3</v>
      </c>
    </row>
    <row r="17" spans="1:11" ht="15.6">
      <c r="A17" s="12">
        <v>75</v>
      </c>
      <c r="B17" s="12">
        <v>0</v>
      </c>
      <c r="C17" s="12">
        <v>12.2</v>
      </c>
      <c r="D17" s="12">
        <v>13.1</v>
      </c>
      <c r="E17" s="12">
        <v>16.8</v>
      </c>
      <c r="F17" s="12">
        <v>18.600000000000001</v>
      </c>
      <c r="G17" s="12">
        <v>0</v>
      </c>
      <c r="H17" s="12">
        <v>11.7</v>
      </c>
      <c r="I17" s="12">
        <v>12.7</v>
      </c>
      <c r="J17" s="12">
        <v>17.100000000000001</v>
      </c>
      <c r="K17" s="12">
        <v>19.3</v>
      </c>
    </row>
    <row r="18" spans="1:11" ht="15.6">
      <c r="A18" s="12">
        <v>76</v>
      </c>
      <c r="B18" s="12">
        <v>0</v>
      </c>
      <c r="C18" s="12">
        <v>12.2</v>
      </c>
      <c r="D18" s="12">
        <v>13.1</v>
      </c>
      <c r="E18" s="12">
        <v>16.8</v>
      </c>
      <c r="F18" s="12">
        <v>18.7</v>
      </c>
      <c r="G18" s="12">
        <v>0</v>
      </c>
      <c r="H18" s="12">
        <v>11.7</v>
      </c>
      <c r="I18" s="12">
        <v>12.7</v>
      </c>
      <c r="J18" s="12">
        <v>17.100000000000001</v>
      </c>
      <c r="K18" s="12">
        <v>19.399999999999999</v>
      </c>
    </row>
    <row r="19" spans="1:11" ht="15.6">
      <c r="A19" s="12">
        <v>77</v>
      </c>
      <c r="B19" s="12">
        <v>0</v>
      </c>
      <c r="C19" s="12">
        <v>12.2</v>
      </c>
      <c r="D19" s="12">
        <v>13.1</v>
      </c>
      <c r="E19" s="12">
        <v>16.899999999999999</v>
      </c>
      <c r="F19" s="12">
        <v>18.7</v>
      </c>
      <c r="G19" s="12">
        <v>0</v>
      </c>
      <c r="H19" s="12">
        <v>11.7</v>
      </c>
      <c r="I19" s="12">
        <v>12.7</v>
      </c>
      <c r="J19" s="12">
        <v>17.100000000000001</v>
      </c>
      <c r="K19" s="12">
        <v>19.399999999999999</v>
      </c>
    </row>
    <row r="20" spans="1:11" ht="15.6">
      <c r="A20" s="12">
        <v>78</v>
      </c>
      <c r="B20" s="12">
        <v>0</v>
      </c>
      <c r="C20" s="12">
        <v>12.2</v>
      </c>
      <c r="D20" s="12">
        <v>13.1</v>
      </c>
      <c r="E20" s="12">
        <v>16.899999999999999</v>
      </c>
      <c r="F20" s="12">
        <v>18.7</v>
      </c>
      <c r="G20" s="12">
        <v>0</v>
      </c>
      <c r="H20" s="12">
        <v>11.7</v>
      </c>
      <c r="I20" s="12">
        <v>12.7</v>
      </c>
      <c r="J20" s="12">
        <v>17.100000000000001</v>
      </c>
      <c r="K20" s="12">
        <v>19.5</v>
      </c>
    </row>
    <row r="21" spans="1:11" ht="15.6">
      <c r="A21" s="12">
        <v>79</v>
      </c>
      <c r="B21" s="12">
        <v>0</v>
      </c>
      <c r="C21" s="12">
        <v>12.2</v>
      </c>
      <c r="D21" s="12">
        <v>13.1</v>
      </c>
      <c r="E21" s="12">
        <v>16.899999999999999</v>
      </c>
      <c r="F21" s="12">
        <v>18.8</v>
      </c>
      <c r="G21" s="12">
        <v>0</v>
      </c>
      <c r="H21" s="12">
        <v>11.7</v>
      </c>
      <c r="I21" s="12">
        <v>12.7</v>
      </c>
      <c r="J21" s="12">
        <v>17.2</v>
      </c>
      <c r="K21" s="12">
        <v>19.5</v>
      </c>
    </row>
    <row r="22" spans="1:11" ht="15.6">
      <c r="A22" s="12">
        <v>80</v>
      </c>
      <c r="B22" s="12">
        <v>0</v>
      </c>
      <c r="C22" s="12">
        <v>12.2</v>
      </c>
      <c r="D22" s="12">
        <v>13.1</v>
      </c>
      <c r="E22" s="12">
        <v>16.899999999999999</v>
      </c>
      <c r="F22" s="50">
        <v>18.8</v>
      </c>
      <c r="G22" s="12">
        <v>0</v>
      </c>
      <c r="H22" s="12">
        <v>11.7</v>
      </c>
      <c r="I22" s="12">
        <v>12.7</v>
      </c>
      <c r="J22" s="50">
        <v>17.2</v>
      </c>
      <c r="K22" s="50">
        <v>19.600000000000001</v>
      </c>
    </row>
    <row r="23" spans="1:11" ht="15.6">
      <c r="A23" s="12">
        <v>81</v>
      </c>
      <c r="B23" s="12">
        <v>0</v>
      </c>
      <c r="C23" s="12">
        <v>12.2</v>
      </c>
      <c r="D23" s="12">
        <v>13.1</v>
      </c>
      <c r="E23" s="12">
        <v>17</v>
      </c>
      <c r="F23" s="12">
        <v>18.899999999999999</v>
      </c>
      <c r="G23" s="12">
        <v>0</v>
      </c>
      <c r="H23" s="12">
        <v>11.7</v>
      </c>
      <c r="I23" s="12">
        <v>12.7</v>
      </c>
      <c r="J23" s="12">
        <v>17.2</v>
      </c>
      <c r="K23" s="12">
        <v>19.600000000000001</v>
      </c>
    </row>
    <row r="24" spans="1:11" ht="15.6">
      <c r="A24" s="12">
        <v>82</v>
      </c>
      <c r="B24" s="12">
        <v>0</v>
      </c>
      <c r="C24" s="12">
        <v>12.2</v>
      </c>
      <c r="D24" s="12">
        <v>13.1</v>
      </c>
      <c r="E24" s="12">
        <v>17</v>
      </c>
      <c r="F24" s="12">
        <v>18.899999999999999</v>
      </c>
      <c r="G24" s="12">
        <v>0</v>
      </c>
      <c r="H24" s="12">
        <v>11.7</v>
      </c>
      <c r="I24" s="12">
        <v>12.7</v>
      </c>
      <c r="J24" s="12">
        <v>17.2</v>
      </c>
      <c r="K24" s="12">
        <v>19.7</v>
      </c>
    </row>
    <row r="25" spans="1:11" ht="15.6">
      <c r="A25" s="12">
        <v>83</v>
      </c>
      <c r="B25" s="12">
        <v>0</v>
      </c>
      <c r="C25" s="12">
        <v>12.2</v>
      </c>
      <c r="D25" s="12">
        <v>13.1</v>
      </c>
      <c r="E25" s="12">
        <v>17</v>
      </c>
      <c r="F25" s="50">
        <v>19</v>
      </c>
      <c r="G25" s="12">
        <v>0</v>
      </c>
      <c r="H25" s="12">
        <v>11.7</v>
      </c>
      <c r="I25" s="12">
        <v>12.7</v>
      </c>
      <c r="J25" s="50">
        <v>17.3</v>
      </c>
      <c r="K25" s="50">
        <v>19.7</v>
      </c>
    </row>
    <row r="26" spans="1:11" ht="15.6">
      <c r="A26" s="12">
        <v>84</v>
      </c>
      <c r="B26" s="12">
        <v>0</v>
      </c>
      <c r="C26" s="12">
        <v>12.3</v>
      </c>
      <c r="D26" s="12">
        <v>13.1</v>
      </c>
      <c r="E26" s="12">
        <v>17</v>
      </c>
      <c r="F26" s="12">
        <v>19</v>
      </c>
      <c r="G26" s="12">
        <v>0</v>
      </c>
      <c r="H26" s="12">
        <v>11.8</v>
      </c>
      <c r="I26" s="12">
        <v>12.7</v>
      </c>
      <c r="J26" s="12">
        <v>17.3</v>
      </c>
      <c r="K26" s="12">
        <v>19.8</v>
      </c>
    </row>
  </sheetData>
  <mergeCells count="2">
    <mergeCell ref="B1:F1"/>
    <mergeCell ref="G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25</vt:i4>
      </vt:variant>
    </vt:vector>
  </HeadingPairs>
  <TitlesOfParts>
    <vt:vector size="44" baseType="lpstr">
      <vt:lpstr>12-18</vt:lpstr>
      <vt:lpstr>19-24 a</vt:lpstr>
      <vt:lpstr>19-24 B</vt:lpstr>
      <vt:lpstr>25-36</vt:lpstr>
      <vt:lpstr>25-36 A</vt:lpstr>
      <vt:lpstr>25-36 B</vt:lpstr>
      <vt:lpstr>3-4 A</vt:lpstr>
      <vt:lpstr>3-4 B</vt:lpstr>
      <vt:lpstr>3-4 C</vt:lpstr>
      <vt:lpstr>4-5</vt:lpstr>
      <vt:lpstr>5-6 A</vt:lpstr>
      <vt:lpstr>5-6 B</vt:lpstr>
      <vt:lpstr>bảng tổng hợp</vt:lpstr>
      <vt:lpstr>BIỂU ĐỒ</vt:lpstr>
      <vt:lpstr>Sheet1</vt:lpstr>
      <vt:lpstr>CNTT</vt:lpstr>
      <vt:lpstr>CCTT</vt:lpstr>
      <vt:lpstr>CNTCC</vt:lpstr>
      <vt:lpstr>BMI</vt:lpstr>
      <vt:lpstr>'12-18'!Print_Area</vt:lpstr>
      <vt:lpstr>'19-24 a'!Print_Area</vt:lpstr>
      <vt:lpstr>'19-24 B'!Print_Area</vt:lpstr>
      <vt:lpstr>'25-36'!Print_Area</vt:lpstr>
      <vt:lpstr>'25-36 A'!Print_Area</vt:lpstr>
      <vt:lpstr>'25-36 B'!Print_Area</vt:lpstr>
      <vt:lpstr>'3-4 A'!Print_Area</vt:lpstr>
      <vt:lpstr>'3-4 B'!Print_Area</vt:lpstr>
      <vt:lpstr>'3-4 C'!Print_Area</vt:lpstr>
      <vt:lpstr>'4-5'!Print_Area</vt:lpstr>
      <vt:lpstr>'5-6 A'!Print_Area</vt:lpstr>
      <vt:lpstr>'5-6 B'!Print_Area</vt:lpstr>
      <vt:lpstr>'12-18'!Print_Titles</vt:lpstr>
      <vt:lpstr>'19-24 a'!Print_Titles</vt:lpstr>
      <vt:lpstr>'19-24 B'!Print_Titles</vt:lpstr>
      <vt:lpstr>'25-36'!Print_Titles</vt:lpstr>
      <vt:lpstr>'25-36 A'!Print_Titles</vt:lpstr>
      <vt:lpstr>'25-36 B'!Print_Titles</vt:lpstr>
      <vt:lpstr>'3-4 A'!Print_Titles</vt:lpstr>
      <vt:lpstr>'3-4 B'!Print_Titles</vt:lpstr>
      <vt:lpstr>'3-4 C'!Print_Titles</vt:lpstr>
      <vt:lpstr>'4-5'!Print_Titles</vt:lpstr>
      <vt:lpstr>'5-6 A'!Print_Titles</vt:lpstr>
      <vt:lpstr>'5-6 B'!Print_Titles</vt:lpstr>
      <vt:lpstr>'bảng tổng hợp'!Print_Titles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Hien</dc:creator>
  <cp:lastModifiedBy>Administrator</cp:lastModifiedBy>
  <cp:lastPrinted>2025-09-25T03:46:08Z</cp:lastPrinted>
  <dcterms:created xsi:type="dcterms:W3CDTF">2022-10-07T07:26:00Z</dcterms:created>
  <dcterms:modified xsi:type="dcterms:W3CDTF">2026-09-20T04:13:43Z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427279EE02D241DA9111880A9565C9D3_13</vt:lpwstr>
  </property>
  <property fmtid="{D5CDD505-2E9C-101B-9397-08002B2CF9AE}" pid="3" name="KSOProductBuildVer">
    <vt:lpwstr>1033-12.2.0.18283</vt:lpwstr>
  </property>
</Properties>
</file>